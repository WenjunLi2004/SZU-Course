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rse\并行计算\实验\实验三\"/>
    </mc:Choice>
  </mc:AlternateContent>
  <xr:revisionPtr revIDLastSave="0" documentId="13_ncr:1_{7B38005B-A752-4654-9900-D4F1BD302BEC}" xr6:coauthVersionLast="47" xr6:coauthVersionMax="47" xr10:uidLastSave="{00000000-0000-0000-0000-000000000000}"/>
  <bookViews>
    <workbookView xWindow="19095" yWindow="0" windowWidth="19410" windowHeight="20985" xr2:uid="{9A0A2D00-F43A-4DD4-97B9-A37300927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9" i="1" l="1"/>
  <c r="E79" i="1"/>
  <c r="F79" i="1"/>
  <c r="G79" i="1"/>
  <c r="H79" i="1"/>
  <c r="I79" i="1"/>
  <c r="C79" i="1"/>
  <c r="I69" i="1"/>
  <c r="D69" i="1"/>
  <c r="E69" i="1"/>
  <c r="F69" i="1"/>
  <c r="G69" i="1"/>
  <c r="H69" i="1"/>
  <c r="C69" i="1"/>
  <c r="R13" i="1" s="1" a="1"/>
  <c r="R13" i="1" s="1"/>
  <c r="C8" i="1"/>
  <c r="I78" i="1"/>
  <c r="H78" i="1"/>
  <c r="G78" i="1"/>
  <c r="F78" i="1"/>
  <c r="E78" i="1"/>
  <c r="D78" i="1"/>
  <c r="C78" i="1"/>
  <c r="S3" i="1" s="1" a="1"/>
  <c r="S3" i="1" s="1"/>
  <c r="I68" i="1"/>
  <c r="H68" i="1"/>
  <c r="G68" i="1"/>
  <c r="F68" i="1"/>
  <c r="E68" i="1"/>
  <c r="D68" i="1"/>
  <c r="C68" i="1"/>
  <c r="R3" i="1" s="1" a="1"/>
  <c r="R3" i="1" s="1"/>
  <c r="I58" i="1"/>
  <c r="H58" i="1"/>
  <c r="G58" i="1"/>
  <c r="F58" i="1"/>
  <c r="E58" i="1"/>
  <c r="D58" i="1"/>
  <c r="C58" i="1"/>
  <c r="D48" i="1"/>
  <c r="E48" i="1"/>
  <c r="F48" i="1"/>
  <c r="G48" i="1"/>
  <c r="H48" i="1"/>
  <c r="I48" i="1"/>
  <c r="D38" i="1"/>
  <c r="E38" i="1"/>
  <c r="F38" i="1"/>
  <c r="G38" i="1"/>
  <c r="H38" i="1"/>
  <c r="I38" i="1"/>
  <c r="D28" i="1"/>
  <c r="E28" i="1"/>
  <c r="F28" i="1"/>
  <c r="G28" i="1"/>
  <c r="H28" i="1"/>
  <c r="I28" i="1"/>
  <c r="C48" i="1"/>
  <c r="C38" i="1"/>
  <c r="C28" i="1"/>
  <c r="D18" i="1"/>
  <c r="E18" i="1"/>
  <c r="F18" i="1"/>
  <c r="G18" i="1"/>
  <c r="H18" i="1"/>
  <c r="I18" i="1"/>
  <c r="C18" i="1"/>
  <c r="H19" i="1" s="1"/>
  <c r="D8" i="1"/>
  <c r="E8" i="1"/>
  <c r="F8" i="1"/>
  <c r="G8" i="1"/>
  <c r="H8" i="1"/>
  <c r="I8" i="1"/>
  <c r="I70" i="1" l="1"/>
  <c r="G80" i="1"/>
  <c r="P3" i="1" a="1"/>
  <c r="P3" i="1" s="1"/>
  <c r="L3" i="1" a="1"/>
  <c r="L3" i="1" s="1"/>
  <c r="I80" i="1"/>
  <c r="D80" i="1"/>
  <c r="E80" i="1"/>
  <c r="D70" i="1"/>
  <c r="F80" i="1"/>
  <c r="H80" i="1"/>
  <c r="E70" i="1"/>
  <c r="F70" i="1"/>
  <c r="G70" i="1"/>
  <c r="I29" i="1"/>
  <c r="I30" i="1" s="1"/>
  <c r="O3" i="1" a="1"/>
  <c r="O3" i="1" s="1"/>
  <c r="H70" i="1"/>
  <c r="Q3" i="1" a="1"/>
  <c r="Q3" i="1" s="1"/>
  <c r="G59" i="1"/>
  <c r="G60" i="1" s="1"/>
  <c r="N3" i="1" a="1"/>
  <c r="N3" i="1" s="1"/>
  <c r="M3" i="1" a="1"/>
  <c r="M3" i="1" s="1"/>
  <c r="H49" i="1"/>
  <c r="H50" i="1" s="1"/>
  <c r="I59" i="1"/>
  <c r="I60" i="1" s="1"/>
  <c r="D39" i="1"/>
  <c r="D40" i="1" s="1"/>
  <c r="D19" i="1"/>
  <c r="D20" i="1" s="1"/>
  <c r="H59" i="1"/>
  <c r="H60" i="1" s="1"/>
  <c r="E39" i="1"/>
  <c r="E40" i="1" s="1"/>
  <c r="C19" i="1"/>
  <c r="I19" i="1"/>
  <c r="I20" i="1" s="1"/>
  <c r="G49" i="1"/>
  <c r="G50" i="1" s="1"/>
  <c r="F49" i="1"/>
  <c r="F50" i="1" s="1"/>
  <c r="E49" i="1"/>
  <c r="E50" i="1" s="1"/>
  <c r="G19" i="1"/>
  <c r="G20" i="1" s="1"/>
  <c r="F19" i="1"/>
  <c r="F20" i="1" s="1"/>
  <c r="D49" i="1"/>
  <c r="D50" i="1" s="1"/>
  <c r="F39" i="1"/>
  <c r="F40" i="1" s="1"/>
  <c r="E19" i="1"/>
  <c r="E20" i="1" s="1"/>
  <c r="F59" i="1"/>
  <c r="F60" i="1" s="1"/>
  <c r="D59" i="1"/>
  <c r="D60" i="1" s="1"/>
  <c r="C29" i="1"/>
  <c r="H29" i="1"/>
  <c r="H30" i="1" s="1"/>
  <c r="G29" i="1"/>
  <c r="G30" i="1" s="1"/>
  <c r="F29" i="1"/>
  <c r="F30" i="1" s="1"/>
  <c r="E29" i="1"/>
  <c r="E30" i="1" s="1"/>
  <c r="D29" i="1"/>
  <c r="D30" i="1" s="1"/>
  <c r="E59" i="1"/>
  <c r="E60" i="1" s="1"/>
  <c r="C59" i="1"/>
  <c r="Q13" i="1" s="1" a="1"/>
  <c r="Q13" i="1" s="1"/>
  <c r="C49" i="1"/>
  <c r="I49" i="1"/>
  <c r="I50" i="1" s="1"/>
  <c r="C39" i="1"/>
  <c r="H39" i="1"/>
  <c r="H40" i="1" s="1"/>
  <c r="G39" i="1"/>
  <c r="G40" i="1" s="1"/>
  <c r="I39" i="1"/>
  <c r="I40" i="1" s="1"/>
  <c r="I9" i="1"/>
  <c r="I10" i="1" s="1"/>
  <c r="F9" i="1"/>
  <c r="F10" i="1" s="1"/>
  <c r="E9" i="1"/>
  <c r="E10" i="1" s="1"/>
  <c r="H20" i="1"/>
  <c r="C9" i="1"/>
  <c r="H9" i="1"/>
  <c r="H10" i="1" s="1"/>
  <c r="G9" i="1"/>
  <c r="G10" i="1" s="1"/>
  <c r="D9" i="1"/>
  <c r="D10" i="1" s="1"/>
  <c r="C80" i="1" l="1"/>
  <c r="S13" i="1" a="1"/>
  <c r="S13" i="1" s="1"/>
  <c r="C70" i="1"/>
  <c r="R23" i="1" s="1" a="1"/>
  <c r="R23" i="1" s="1"/>
  <c r="S23" i="1" a="1"/>
  <c r="S23" i="1" s="1"/>
  <c r="C50" i="1"/>
  <c r="P23" i="1" s="1" a="1"/>
  <c r="P23" i="1" s="1"/>
  <c r="P13" i="1" a="1"/>
  <c r="P13" i="1" s="1"/>
  <c r="C60" i="1"/>
  <c r="Q23" i="1" s="1" a="1"/>
  <c r="Q23" i="1" s="1"/>
  <c r="C40" i="1"/>
  <c r="O23" i="1" s="1" a="1"/>
  <c r="O23" i="1" s="1"/>
  <c r="O13" i="1" a="1"/>
  <c r="O13" i="1" s="1"/>
  <c r="C30" i="1"/>
  <c r="N23" i="1" s="1" a="1"/>
  <c r="N23" i="1" s="1"/>
  <c r="N13" i="1" a="1"/>
  <c r="N13" i="1" s="1"/>
  <c r="C20" i="1"/>
  <c r="M23" i="1" s="1" a="1"/>
  <c r="M23" i="1" s="1"/>
  <c r="M13" i="1" a="1"/>
  <c r="M13" i="1" s="1"/>
  <c r="C10" i="1"/>
  <c r="L23" i="1" s="1" a="1"/>
  <c r="L23" i="1" s="1"/>
  <c r="L13" i="1" a="1"/>
  <c r="L1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<sst xmlns="http://schemas.openxmlformats.org/spreadsheetml/2006/main" count="24" uniqueCount="3">
  <si>
    <t>平均运行时间</t>
    <phoneticPr fontId="2" type="noConversion"/>
  </si>
  <si>
    <t>加速比</t>
    <phoneticPr fontId="2" type="noConversion"/>
  </si>
  <si>
    <t>效率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</si>
</sst>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000_);[Red]\(0.00000\)"/>
    <numFmt numFmtId="181" formatCode="0.0000_);[Red]\(0.0000\)"/>
  </numFmts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b/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181" fontId="5" fillId="0" borderId="1" xfId="0" applyNumberFormat="1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1461-63FF-4F13-B128-153599EB9261}">
  <dimension ref="B1:S80"/>
  <sheetViews>
    <sheetView tabSelected="1" topLeftCell="G1" zoomScale="115" zoomScaleNormal="115" workbookViewId="0">
      <selection activeCell="M25" sqref="M25"/>
    </sheetView>
  </sheetViews>
  <sheetFormatPr defaultColWidth="8.875" defaultRowHeight="14.25" x14ac:dyDescent="0.2"/>
  <cols>
    <col min="2" max="2" width="14.375" customWidth="1"/>
    <col min="3" max="3" width="10" bestFit="1" customWidth="1"/>
    <col min="4" max="6" width="9.5" bestFit="1" customWidth="1"/>
    <col min="7" max="7" width="10.5" bestFit="1" customWidth="1"/>
    <col min="8" max="9" width="9.5" bestFit="1" customWidth="1"/>
    <col min="12" max="12" width="10" bestFit="1" customWidth="1"/>
    <col min="13" max="17" width="9" bestFit="1" customWidth="1"/>
  </cols>
  <sheetData>
    <row r="1" spans="2:19" ht="15" thickBot="1" x14ac:dyDescent="0.25"/>
    <row r="2" spans="2:19" ht="15" thickBot="1" x14ac:dyDescent="0.25">
      <c r="B2" s="6">
        <v>256</v>
      </c>
      <c r="C2" s="1">
        <v>1</v>
      </c>
      <c r="D2" s="1">
        <v>2</v>
      </c>
      <c r="E2" s="1">
        <v>4</v>
      </c>
      <c r="F2" s="1">
        <v>8</v>
      </c>
      <c r="G2" s="1">
        <v>16</v>
      </c>
      <c r="H2" s="1">
        <v>32</v>
      </c>
      <c r="I2" s="1">
        <v>64</v>
      </c>
      <c r="L2" s="6">
        <v>256</v>
      </c>
      <c r="M2" s="6">
        <v>512</v>
      </c>
      <c r="N2" s="6">
        <v>768</v>
      </c>
      <c r="O2" s="6">
        <v>1024</v>
      </c>
      <c r="P2" s="6">
        <v>1280</v>
      </c>
      <c r="Q2" s="6">
        <v>1536</v>
      </c>
      <c r="R2" s="6">
        <v>1792</v>
      </c>
      <c r="S2" s="6">
        <v>2048</v>
      </c>
    </row>
    <row r="3" spans="2:19" ht="15" thickBot="1" x14ac:dyDescent="0.25">
      <c r="C3" s="3">
        <v>1.0116699999999999E-2</v>
      </c>
      <c r="D3" s="4">
        <v>9.0779200000000004E-2</v>
      </c>
      <c r="E3" s="4">
        <v>0.150587</v>
      </c>
      <c r="F3" s="4">
        <v>0.23026099999999999</v>
      </c>
      <c r="G3" s="4">
        <v>0.25775999999999999</v>
      </c>
      <c r="H3" s="4">
        <v>0.27046700000000001</v>
      </c>
      <c r="I3" s="4">
        <v>0.21820100000000001</v>
      </c>
      <c r="K3" s="1">
        <v>1</v>
      </c>
      <c r="L3" s="10" cm="1">
        <f t="array" ref="L3:L9">TRANSPOSE(C8:I8)</f>
        <v>9.1759819999999992E-3</v>
      </c>
      <c r="M3" s="10" cm="1">
        <f t="array" ref="M3:M9">TRANSPOSE(C18:I18)</f>
        <v>5.9965020000000001E-2</v>
      </c>
      <c r="N3" s="10" cm="1">
        <f t="array" ref="N3:N9">TRANSPOSE(C28:I28)</f>
        <v>0.1949988</v>
      </c>
      <c r="O3" s="10" cm="1">
        <f t="array" ref="O3:O9">TRANSPOSE(C38:I38)</f>
        <v>0.44650000000000001</v>
      </c>
      <c r="P3" s="10" cm="1">
        <f t="array" ref="P3:P9">TRANSPOSE(C48:I48)</f>
        <v>0.86439199999999994</v>
      </c>
      <c r="Q3" s="10" cm="1">
        <f t="array" ref="Q3:Q9">TRANSPOSE(C58:I58)</f>
        <v>1.6307379999999998</v>
      </c>
      <c r="R3" s="10" cm="1">
        <f t="array" ref="R3:R9">TRANSPOSE(C68:I68)</f>
        <v>4.0053299999999989</v>
      </c>
      <c r="S3" s="10" cm="1">
        <f t="array" ref="S3:S9">TRANSPOSE(C78:I78)</f>
        <v>8.8181199999999986</v>
      </c>
    </row>
    <row r="4" spans="2:19" ht="15" thickBot="1" x14ac:dyDescent="0.25">
      <c r="C4" s="3">
        <v>8.6305700000000006E-3</v>
      </c>
      <c r="D4" s="4">
        <v>9.9070099999999994E-2</v>
      </c>
      <c r="E4" s="4">
        <v>0.17282500000000001</v>
      </c>
      <c r="F4" s="4">
        <v>0.272121</v>
      </c>
      <c r="G4" s="4">
        <v>0.25978800000000002</v>
      </c>
      <c r="H4" s="4">
        <v>0.227103</v>
      </c>
      <c r="I4" s="4">
        <v>0.232628</v>
      </c>
      <c r="K4" s="1">
        <v>2</v>
      </c>
      <c r="L4" s="10">
        <v>8.8536540000000011E-2</v>
      </c>
      <c r="M4" s="10">
        <v>0.22060339999999998</v>
      </c>
      <c r="N4" s="10">
        <v>0.37112200000000006</v>
      </c>
      <c r="O4" s="10">
        <v>0.61523499999999998</v>
      </c>
      <c r="P4" s="10">
        <v>0.95984839999999993</v>
      </c>
      <c r="Q4" s="10">
        <v>1.4010940000000001</v>
      </c>
      <c r="R4" s="10">
        <v>1.9425559999999997</v>
      </c>
      <c r="S4" s="10">
        <v>2.7178400000000003</v>
      </c>
    </row>
    <row r="5" spans="2:19" ht="15" thickBot="1" x14ac:dyDescent="0.25">
      <c r="C5" s="3">
        <v>8.6089400000000007E-3</v>
      </c>
      <c r="D5" s="4">
        <v>8.4602300000000005E-2</v>
      </c>
      <c r="E5" s="4">
        <v>0.158774</v>
      </c>
      <c r="F5" s="4">
        <v>0.27715000000000001</v>
      </c>
      <c r="G5" s="4">
        <v>0.26438200000000001</v>
      </c>
      <c r="H5" s="4">
        <v>0.26289400000000002</v>
      </c>
      <c r="I5" s="4">
        <v>0.24331900000000001</v>
      </c>
      <c r="K5" s="1">
        <v>4</v>
      </c>
      <c r="L5" s="10">
        <v>0.16358920000000002</v>
      </c>
      <c r="M5" s="10">
        <v>0.37295200000000001</v>
      </c>
      <c r="N5" s="10">
        <v>0.60928459999999995</v>
      </c>
      <c r="O5" s="10">
        <v>0.85365479999999994</v>
      </c>
      <c r="P5" s="10">
        <v>1.1778379999999999</v>
      </c>
      <c r="Q5" s="10">
        <v>1.6195620000000002</v>
      </c>
      <c r="R5" s="10">
        <v>2.0701640000000001</v>
      </c>
      <c r="S5" s="10">
        <v>2.6324779999999999</v>
      </c>
    </row>
    <row r="6" spans="2:19" ht="15" thickBot="1" x14ac:dyDescent="0.25">
      <c r="C6" s="3">
        <v>8.8384099999999997E-3</v>
      </c>
      <c r="D6" s="4">
        <v>7.5654100000000002E-2</v>
      </c>
      <c r="E6" s="4">
        <v>0.180172</v>
      </c>
      <c r="F6" s="4">
        <v>0.24121300000000001</v>
      </c>
      <c r="G6" s="4">
        <v>0.257191</v>
      </c>
      <c r="H6" s="4">
        <v>0.26938699999999999</v>
      </c>
      <c r="I6" s="4">
        <v>0.22032299999999999</v>
      </c>
      <c r="K6" s="1">
        <v>8</v>
      </c>
      <c r="L6" s="10">
        <v>0.25903179999999998</v>
      </c>
      <c r="M6" s="10">
        <v>0.54975540000000012</v>
      </c>
      <c r="N6" s="10">
        <v>0.84575459999999991</v>
      </c>
      <c r="O6" s="10">
        <v>1.2293280000000002</v>
      </c>
      <c r="P6" s="10">
        <v>1.609442</v>
      </c>
      <c r="Q6" s="10">
        <v>2.117874</v>
      </c>
      <c r="R6" s="10">
        <v>2.5863100000000001</v>
      </c>
      <c r="S6" s="10">
        <v>3.1993320000000005</v>
      </c>
    </row>
    <row r="7" spans="2:19" ht="15" thickBot="1" x14ac:dyDescent="0.25">
      <c r="C7" s="3">
        <v>9.6852899999999992E-3</v>
      </c>
      <c r="D7" s="4">
        <v>9.2577000000000007E-2</v>
      </c>
      <c r="E7" s="4">
        <v>0.155588</v>
      </c>
      <c r="F7" s="4">
        <v>0.27441399999999999</v>
      </c>
      <c r="G7" s="4">
        <v>0.25366100000000003</v>
      </c>
      <c r="H7" s="4">
        <v>0.23472699999999999</v>
      </c>
      <c r="I7" s="4">
        <v>0.234873</v>
      </c>
      <c r="K7" s="1">
        <v>16</v>
      </c>
      <c r="L7" s="10">
        <v>0.25855639999999996</v>
      </c>
      <c r="M7" s="10">
        <v>0.54309740000000006</v>
      </c>
      <c r="N7" s="10">
        <v>0.83592659999999996</v>
      </c>
      <c r="O7" s="10">
        <v>1.199206</v>
      </c>
      <c r="P7" s="10">
        <v>1.6020019999999999</v>
      </c>
      <c r="Q7" s="10">
        <v>2.0234320000000001</v>
      </c>
      <c r="R7" s="10">
        <v>2.4214199999999999</v>
      </c>
      <c r="S7" s="10">
        <v>2.9986800000000002</v>
      </c>
    </row>
    <row r="8" spans="2:19" ht="15" thickBot="1" x14ac:dyDescent="0.25">
      <c r="B8" s="6" t="s">
        <v>0</v>
      </c>
      <c r="C8" s="9">
        <f>AVERAGE(C3:C7)</f>
        <v>9.1759819999999992E-3</v>
      </c>
      <c r="D8" s="9">
        <f t="shared" ref="D8:I8" si="0">AVERAGE(D3:D7)</f>
        <v>8.8536540000000011E-2</v>
      </c>
      <c r="E8" s="9">
        <f t="shared" si="0"/>
        <v>0.16358920000000002</v>
      </c>
      <c r="F8" s="9">
        <f t="shared" si="0"/>
        <v>0.25903179999999998</v>
      </c>
      <c r="G8" s="9">
        <f t="shared" si="0"/>
        <v>0.25855639999999996</v>
      </c>
      <c r="H8" s="9">
        <f t="shared" si="0"/>
        <v>0.25291560000000002</v>
      </c>
      <c r="I8" s="9">
        <f t="shared" si="0"/>
        <v>0.22986880000000004</v>
      </c>
      <c r="K8" s="1">
        <v>32</v>
      </c>
      <c r="L8" s="10">
        <v>0.25291560000000002</v>
      </c>
      <c r="M8" s="10">
        <v>0.51472079999999998</v>
      </c>
      <c r="N8" s="10">
        <v>0.81697540000000013</v>
      </c>
      <c r="O8" s="10">
        <v>1.118166</v>
      </c>
      <c r="P8" s="10">
        <v>1.5218399999999999</v>
      </c>
      <c r="Q8" s="10">
        <v>1.9318219999999999</v>
      </c>
      <c r="R8" s="10">
        <v>2.338908</v>
      </c>
      <c r="S8" s="10">
        <v>2.812818</v>
      </c>
    </row>
    <row r="9" spans="2:19" ht="15" thickBot="1" x14ac:dyDescent="0.25">
      <c r="B9" s="6" t="s">
        <v>1</v>
      </c>
      <c r="C9" s="7">
        <f>$C$8/C8</f>
        <v>1</v>
      </c>
      <c r="D9" s="7">
        <f t="shared" ref="D9:I9" si="1">$C$8/D8</f>
        <v>0.10364062114918877</v>
      </c>
      <c r="E9" s="7">
        <f t="shared" si="1"/>
        <v>5.6091612404730866E-2</v>
      </c>
      <c r="F9" s="7">
        <f t="shared" si="1"/>
        <v>3.5424152555786584E-2</v>
      </c>
      <c r="G9" s="7">
        <f t="shared" si="1"/>
        <v>3.5489285896616755E-2</v>
      </c>
      <c r="H9" s="7">
        <f t="shared" si="1"/>
        <v>3.6280806719712025E-2</v>
      </c>
      <c r="I9" s="7">
        <f t="shared" si="1"/>
        <v>3.9918344725338964E-2</v>
      </c>
      <c r="K9" s="1">
        <v>64</v>
      </c>
      <c r="L9" s="10">
        <v>0.22986880000000004</v>
      </c>
      <c r="M9" s="10">
        <v>0.48837239999999998</v>
      </c>
      <c r="N9" s="10">
        <v>0.77214479999999996</v>
      </c>
      <c r="O9" s="10">
        <v>1.0579939999999999</v>
      </c>
      <c r="P9" s="10">
        <v>1.4090560000000001</v>
      </c>
      <c r="Q9" s="10">
        <v>1.7433920000000001</v>
      </c>
      <c r="R9" s="10">
        <v>2.1944919999999994</v>
      </c>
      <c r="S9" s="10">
        <v>2.5799820000000002</v>
      </c>
    </row>
    <row r="10" spans="2:19" ht="15" thickBot="1" x14ac:dyDescent="0.25">
      <c r="B10" s="6" t="s">
        <v>2</v>
      </c>
      <c r="C10" s="8">
        <f>C9/C2</f>
        <v>1</v>
      </c>
      <c r="D10" s="8">
        <f t="shared" ref="D10:I10" si="2">D9/D2</f>
        <v>5.1820310574594387E-2</v>
      </c>
      <c r="E10" s="8">
        <f t="shared" si="2"/>
        <v>1.4022903101182716E-2</v>
      </c>
      <c r="F10" s="8">
        <f t="shared" si="2"/>
        <v>4.428019069473323E-3</v>
      </c>
      <c r="G10" s="8">
        <f t="shared" si="2"/>
        <v>2.2180803685385472E-3</v>
      </c>
      <c r="H10" s="8">
        <f t="shared" si="2"/>
        <v>1.1337752099910008E-3</v>
      </c>
      <c r="I10" s="8">
        <f t="shared" si="2"/>
        <v>6.2372413633342131E-4</v>
      </c>
    </row>
    <row r="11" spans="2:19" ht="15" thickBot="1" x14ac:dyDescent="0.25"/>
    <row r="12" spans="2:19" ht="15" thickBot="1" x14ac:dyDescent="0.25">
      <c r="B12" s="6">
        <v>512</v>
      </c>
      <c r="C12" s="1">
        <v>1</v>
      </c>
      <c r="D12" s="1">
        <v>2</v>
      </c>
      <c r="E12" s="1">
        <v>4</v>
      </c>
      <c r="F12" s="1">
        <v>8</v>
      </c>
      <c r="G12" s="1">
        <v>16</v>
      </c>
      <c r="H12" s="1">
        <v>32</v>
      </c>
      <c r="I12" s="1">
        <v>64</v>
      </c>
      <c r="L12" s="6">
        <v>256</v>
      </c>
      <c r="M12" s="6">
        <v>512</v>
      </c>
      <c r="N12" s="6">
        <v>768</v>
      </c>
      <c r="O12" s="6">
        <v>1024</v>
      </c>
      <c r="P12" s="6">
        <v>1280</v>
      </c>
      <c r="Q12" s="6">
        <v>1536</v>
      </c>
      <c r="R12" s="6">
        <v>1792</v>
      </c>
      <c r="S12" s="6">
        <v>2048</v>
      </c>
    </row>
    <row r="13" spans="2:19" ht="15" thickBot="1" x14ac:dyDescent="0.25">
      <c r="C13" s="3">
        <v>5.9974899999999998E-2</v>
      </c>
      <c r="D13" s="4">
        <v>0.22681100000000001</v>
      </c>
      <c r="E13" s="4">
        <v>0.36953599999999998</v>
      </c>
      <c r="F13" s="4">
        <v>0.54439700000000002</v>
      </c>
      <c r="G13" s="4">
        <v>0.52866100000000005</v>
      </c>
      <c r="H13" s="4">
        <v>0.51170499999999997</v>
      </c>
      <c r="I13" s="4">
        <v>0.48297200000000001</v>
      </c>
      <c r="K13" s="1">
        <v>1</v>
      </c>
      <c r="L13" s="7" cm="1">
        <f t="array" ref="L13:L19">TRANSPOSE(C9:I9)</f>
        <v>1</v>
      </c>
      <c r="M13" s="7" cm="1">
        <f t="array" ref="M13:M19">TRANSPOSE(C19:I19)</f>
        <v>1</v>
      </c>
      <c r="N13" s="7" cm="1">
        <f t="array" ref="N13:N19">TRANSPOSE(C29:I29)</f>
        <v>1</v>
      </c>
      <c r="O13" s="7" cm="1">
        <f t="array" ref="O13:O19">TRANSPOSE(C39:I39)</f>
        <v>1</v>
      </c>
      <c r="P13" s="7" cm="1">
        <f t="array" ref="P13:P19">TRANSPOSE(C49:I49)</f>
        <v>1</v>
      </c>
      <c r="Q13" s="7" cm="1">
        <f t="array" ref="Q13:Q19">TRANSPOSE(C59:I59)</f>
        <v>1</v>
      </c>
      <c r="R13" s="7" cm="1">
        <f t="array" ref="R13:R19">TRANSPOSE(C69:I69)</f>
        <v>1</v>
      </c>
      <c r="S13" s="7" cm="1">
        <f t="array" ref="S13:S19">TRANSPOSE(C79:I79)</f>
        <v>1</v>
      </c>
    </row>
    <row r="14" spans="2:19" ht="15" thickBot="1" x14ac:dyDescent="0.25">
      <c r="C14" s="3">
        <v>5.6515700000000002E-2</v>
      </c>
      <c r="D14" s="4">
        <v>0.213529</v>
      </c>
      <c r="E14" s="4">
        <v>0.38112400000000002</v>
      </c>
      <c r="F14" s="4">
        <v>0.56239499999999998</v>
      </c>
      <c r="G14" s="4">
        <v>0.53026300000000004</v>
      </c>
      <c r="H14" s="4">
        <v>0.49925999999999998</v>
      </c>
      <c r="I14" s="4">
        <v>0.47875000000000001</v>
      </c>
      <c r="K14" s="1">
        <v>2</v>
      </c>
      <c r="L14" s="7">
        <v>0.10364062114918877</v>
      </c>
      <c r="M14" s="7">
        <v>0.27182273709290067</v>
      </c>
      <c r="N14" s="7">
        <v>0.52543045144184386</v>
      </c>
      <c r="O14" s="7">
        <v>0.72573894528107152</v>
      </c>
      <c r="P14" s="7">
        <v>0.90055054527360778</v>
      </c>
      <c r="Q14" s="7">
        <v>1.1639033498109332</v>
      </c>
      <c r="R14" s="7">
        <v>2.0618865041728522</v>
      </c>
      <c r="S14" s="7">
        <v>3.2445324228063455</v>
      </c>
    </row>
    <row r="15" spans="2:19" ht="15" thickBot="1" x14ac:dyDescent="0.25">
      <c r="C15" s="3">
        <v>6.0442900000000001E-2</v>
      </c>
      <c r="D15" s="4">
        <v>0.219754</v>
      </c>
      <c r="E15" s="4">
        <v>0.37067800000000001</v>
      </c>
      <c r="F15" s="4">
        <v>0.53311600000000003</v>
      </c>
      <c r="G15" s="4">
        <v>0.557535</v>
      </c>
      <c r="H15" s="4">
        <v>0.49629000000000001</v>
      </c>
      <c r="I15" s="4">
        <v>0.484176</v>
      </c>
      <c r="K15" s="1">
        <v>4</v>
      </c>
      <c r="L15" s="7">
        <v>5.6091612404730866E-2</v>
      </c>
      <c r="M15" s="7">
        <v>0.16078481949419765</v>
      </c>
      <c r="N15" s="7">
        <v>0.32004550911019253</v>
      </c>
      <c r="O15" s="7">
        <v>0.52304514658618451</v>
      </c>
      <c r="P15" s="7">
        <v>0.73388021103071899</v>
      </c>
      <c r="Q15" s="7">
        <v>1.0069006311583006</v>
      </c>
      <c r="R15" s="7">
        <v>1.9347887413750788</v>
      </c>
      <c r="S15" s="7">
        <v>3.3497411944183386</v>
      </c>
    </row>
    <row r="16" spans="2:19" ht="15" thickBot="1" x14ac:dyDescent="0.25">
      <c r="C16" s="3">
        <v>6.0439100000000003E-2</v>
      </c>
      <c r="D16" s="4">
        <v>0.22808899999999999</v>
      </c>
      <c r="E16" s="4">
        <v>0.37539600000000001</v>
      </c>
      <c r="F16" s="4">
        <v>0.55823800000000001</v>
      </c>
      <c r="G16" s="4">
        <v>0.538269</v>
      </c>
      <c r="H16" s="4">
        <v>0.53645200000000004</v>
      </c>
      <c r="I16" s="4">
        <v>0.50414400000000004</v>
      </c>
      <c r="K16" s="1">
        <v>8</v>
      </c>
      <c r="L16" s="7">
        <v>3.5424152555786584E-2</v>
      </c>
      <c r="M16" s="7">
        <v>0.10907581808200517</v>
      </c>
      <c r="N16" s="7">
        <v>0.23056191476818455</v>
      </c>
      <c r="O16" s="7">
        <v>0.36320656488748321</v>
      </c>
      <c r="P16" s="7">
        <v>0.53707558271748834</v>
      </c>
      <c r="Q16" s="7">
        <v>0.76998820515290323</v>
      </c>
      <c r="R16" s="7">
        <v>1.5486658598543868</v>
      </c>
      <c r="S16" s="7">
        <v>2.7562378646542456</v>
      </c>
    </row>
    <row r="17" spans="2:19" ht="15" thickBot="1" x14ac:dyDescent="0.25">
      <c r="C17" s="3">
        <v>6.2452500000000001E-2</v>
      </c>
      <c r="D17" s="4">
        <v>0.214834</v>
      </c>
      <c r="E17" s="4">
        <v>0.36802600000000002</v>
      </c>
      <c r="F17" s="4">
        <v>0.55063099999999998</v>
      </c>
      <c r="G17" s="4">
        <v>0.56075900000000001</v>
      </c>
      <c r="H17" s="4">
        <v>0.52989699999999995</v>
      </c>
      <c r="I17" s="4">
        <v>0.49181999999999998</v>
      </c>
      <c r="K17" s="1">
        <v>16</v>
      </c>
      <c r="L17" s="7">
        <v>3.5489285896616755E-2</v>
      </c>
      <c r="M17" s="7">
        <v>0.11041301247253255</v>
      </c>
      <c r="N17" s="7">
        <v>0.23327263422410532</v>
      </c>
      <c r="O17" s="7">
        <v>0.37232969147919542</v>
      </c>
      <c r="P17" s="7">
        <v>0.53956986320866018</v>
      </c>
      <c r="Q17" s="7">
        <v>0.80592676205575464</v>
      </c>
      <c r="R17" s="7">
        <v>1.6541244393785461</v>
      </c>
      <c r="S17" s="7">
        <v>2.9406672269131744</v>
      </c>
    </row>
    <row r="18" spans="2:19" ht="15" thickBot="1" x14ac:dyDescent="0.25">
      <c r="B18" s="6" t="s">
        <v>0</v>
      </c>
      <c r="C18" s="3">
        <f>AVERAGE(C13:C17)</f>
        <v>5.9965020000000001E-2</v>
      </c>
      <c r="D18" s="3">
        <f t="shared" ref="D18:I18" si="3">AVERAGE(D13:D17)</f>
        <v>0.22060339999999998</v>
      </c>
      <c r="E18" s="3">
        <f t="shared" si="3"/>
        <v>0.37295200000000001</v>
      </c>
      <c r="F18" s="3">
        <f t="shared" si="3"/>
        <v>0.54975540000000012</v>
      </c>
      <c r="G18" s="3">
        <f t="shared" si="3"/>
        <v>0.54309740000000006</v>
      </c>
      <c r="H18" s="3">
        <f t="shared" si="3"/>
        <v>0.51472079999999998</v>
      </c>
      <c r="I18" s="3">
        <f t="shared" si="3"/>
        <v>0.48837239999999998</v>
      </c>
      <c r="K18" s="1">
        <v>32</v>
      </c>
      <c r="L18" s="7">
        <v>3.6280806719712025E-2</v>
      </c>
      <c r="M18" s="7">
        <v>0.11650009092307909</v>
      </c>
      <c r="N18" s="7">
        <v>0.23868380859448152</v>
      </c>
      <c r="O18" s="7">
        <v>0.39931459192999968</v>
      </c>
      <c r="P18" s="7">
        <v>0.56799137885717288</v>
      </c>
      <c r="Q18" s="7">
        <v>0.84414506098387943</v>
      </c>
      <c r="R18" s="7">
        <v>1.712478643879964</v>
      </c>
      <c r="S18" s="7">
        <v>3.1349770941454436</v>
      </c>
    </row>
    <row r="19" spans="2:19" ht="15" thickBot="1" x14ac:dyDescent="0.25">
      <c r="B19" s="6" t="s">
        <v>1</v>
      </c>
      <c r="C19" s="7">
        <f>$C$18/C18</f>
        <v>1</v>
      </c>
      <c r="D19" s="7">
        <f t="shared" ref="D19:I19" si="4">$C$18/D18</f>
        <v>0.27182273709290067</v>
      </c>
      <c r="E19" s="7">
        <f t="shared" si="4"/>
        <v>0.16078481949419765</v>
      </c>
      <c r="F19" s="7">
        <f t="shared" si="4"/>
        <v>0.10907581808200517</v>
      </c>
      <c r="G19" s="7">
        <f t="shared" si="4"/>
        <v>0.11041301247253255</v>
      </c>
      <c r="H19" s="7">
        <f t="shared" si="4"/>
        <v>0.11650009092307909</v>
      </c>
      <c r="I19" s="7">
        <f t="shared" si="4"/>
        <v>0.12278543996343774</v>
      </c>
      <c r="K19" s="1">
        <v>64</v>
      </c>
      <c r="L19" s="7">
        <v>3.9918344725338964E-2</v>
      </c>
      <c r="M19" s="7">
        <v>0.12278543996343774</v>
      </c>
      <c r="N19" s="7">
        <v>0.25254175123629663</v>
      </c>
      <c r="O19" s="7">
        <v>0.42202507764694325</v>
      </c>
      <c r="P19" s="7">
        <v>0.61345468171598561</v>
      </c>
      <c r="Q19" s="7">
        <v>0.9353822892384499</v>
      </c>
      <c r="R19" s="7">
        <v>1.8251741177457015</v>
      </c>
      <c r="S19" s="7">
        <v>3.4178998148049087</v>
      </c>
    </row>
    <row r="20" spans="2:19" ht="15" thickBot="1" x14ac:dyDescent="0.25">
      <c r="B20" s="6" t="s">
        <v>2</v>
      </c>
      <c r="C20" s="8">
        <f t="shared" ref="C20:I20" si="5">C19/C12</f>
        <v>1</v>
      </c>
      <c r="D20" s="8">
        <f t="shared" si="5"/>
        <v>0.13591136854645033</v>
      </c>
      <c r="E20" s="8">
        <f t="shared" si="5"/>
        <v>4.0196204873549413E-2</v>
      </c>
      <c r="F20" s="8">
        <f t="shared" si="5"/>
        <v>1.3634477260250646E-2</v>
      </c>
      <c r="G20" s="8">
        <f t="shared" si="5"/>
        <v>6.9008132795332841E-3</v>
      </c>
      <c r="H20" s="8">
        <f t="shared" si="5"/>
        <v>3.6406278413462214E-3</v>
      </c>
      <c r="I20" s="8">
        <f t="shared" si="5"/>
        <v>1.9185224994287147E-3</v>
      </c>
    </row>
    <row r="21" spans="2:19" ht="15" thickBot="1" x14ac:dyDescent="0.25"/>
    <row r="22" spans="2:19" ht="15" thickBot="1" x14ac:dyDescent="0.25">
      <c r="B22" s="6">
        <v>768</v>
      </c>
      <c r="C22" s="1">
        <v>1</v>
      </c>
      <c r="D22" s="1">
        <v>2</v>
      </c>
      <c r="E22" s="1">
        <v>4</v>
      </c>
      <c r="F22" s="1">
        <v>8</v>
      </c>
      <c r="G22" s="1">
        <v>16</v>
      </c>
      <c r="H22" s="1">
        <v>32</v>
      </c>
      <c r="I22" s="1">
        <v>64</v>
      </c>
      <c r="L22" s="6">
        <v>256</v>
      </c>
      <c r="M22" s="6">
        <v>512</v>
      </c>
      <c r="N22" s="6">
        <v>768</v>
      </c>
      <c r="O22" s="6">
        <v>1024</v>
      </c>
      <c r="P22" s="6">
        <v>1280</v>
      </c>
      <c r="Q22" s="6">
        <v>1536</v>
      </c>
      <c r="R22" s="6">
        <v>1792</v>
      </c>
      <c r="S22" s="6">
        <v>2048</v>
      </c>
    </row>
    <row r="23" spans="2:19" ht="15" thickBot="1" x14ac:dyDescent="0.25">
      <c r="C23" s="1">
        <v>0.202324</v>
      </c>
      <c r="D23" s="2">
        <v>0.38759399999999999</v>
      </c>
      <c r="E23" s="2">
        <v>0.59516100000000005</v>
      </c>
      <c r="F23" s="2">
        <v>0.81807200000000002</v>
      </c>
      <c r="G23" s="2">
        <v>0.81482699999999997</v>
      </c>
      <c r="H23" s="2">
        <v>0.81117600000000001</v>
      </c>
      <c r="I23" s="2">
        <v>0.74398600000000004</v>
      </c>
      <c r="K23" s="1">
        <v>1</v>
      </c>
      <c r="L23" s="8" cm="1">
        <f t="array" ref="L23:L29">TRANSPOSE(C10:I10)</f>
        <v>1</v>
      </c>
      <c r="M23" s="8" cm="1">
        <f t="array" ref="M23:M29">TRANSPOSE(C20:I20)</f>
        <v>1</v>
      </c>
      <c r="N23" s="8" cm="1">
        <f t="array" ref="N23:N29">TRANSPOSE(C30:I30)</f>
        <v>1</v>
      </c>
      <c r="O23" s="8" cm="1">
        <f t="array" ref="O23:O29">TRANSPOSE(C40:I40)</f>
        <v>1</v>
      </c>
      <c r="P23" s="8" cm="1">
        <f t="array" ref="P23:P29">TRANSPOSE(C50:I50)</f>
        <v>1</v>
      </c>
      <c r="Q23" s="8" cm="1">
        <f t="array" ref="Q23:Q29">TRANSPOSE(C60:I60)</f>
        <v>1</v>
      </c>
      <c r="R23" s="8" cm="1">
        <f t="array" ref="R23:R29">TRANSPOSE(C70:I70)</f>
        <v>1</v>
      </c>
      <c r="S23" s="8" cm="1">
        <f t="array" ref="S23:S29">TRANSPOSE(C80:I80)</f>
        <v>1</v>
      </c>
    </row>
    <row r="24" spans="2:19" ht="15" thickBot="1" x14ac:dyDescent="0.25">
      <c r="C24" s="1">
        <v>0.19465399999999999</v>
      </c>
      <c r="D24" s="2">
        <v>0.39605699999999999</v>
      </c>
      <c r="E24" s="2">
        <v>0.63176500000000002</v>
      </c>
      <c r="F24" s="2">
        <v>0.854105</v>
      </c>
      <c r="G24" s="2">
        <v>0.82870699999999997</v>
      </c>
      <c r="H24" s="2">
        <v>0.86693299999999995</v>
      </c>
      <c r="I24" s="2">
        <v>0.75253400000000004</v>
      </c>
      <c r="K24" s="1">
        <v>2</v>
      </c>
      <c r="L24" s="8">
        <v>5.1820310574594387E-2</v>
      </c>
      <c r="M24" s="8">
        <v>0.13591136854645033</v>
      </c>
      <c r="N24" s="8">
        <v>0.26271522572092193</v>
      </c>
      <c r="O24" s="8">
        <v>0.36286947264053576</v>
      </c>
      <c r="P24" s="8">
        <v>0.45027527263680389</v>
      </c>
      <c r="Q24" s="8">
        <v>0.58195167490546662</v>
      </c>
      <c r="R24" s="8">
        <v>1.0309432520864261</v>
      </c>
      <c r="S24" s="8">
        <v>1.6222662114031727</v>
      </c>
    </row>
    <row r="25" spans="2:19" ht="15" thickBot="1" x14ac:dyDescent="0.25">
      <c r="C25" s="1">
        <v>0.19331499999999999</v>
      </c>
      <c r="D25" s="2">
        <v>0.37766699999999997</v>
      </c>
      <c r="E25" s="2">
        <v>0.58748999999999996</v>
      </c>
      <c r="F25" s="2">
        <v>0.86699599999999999</v>
      </c>
      <c r="G25" s="2">
        <v>0.87765899999999997</v>
      </c>
      <c r="H25" s="2">
        <v>0.82447099999999995</v>
      </c>
      <c r="I25" s="2">
        <v>0.78156300000000001</v>
      </c>
      <c r="K25" s="1">
        <v>4</v>
      </c>
      <c r="L25" s="8">
        <v>1.4022903101182716E-2</v>
      </c>
      <c r="M25" s="8">
        <v>4.0196204873549413E-2</v>
      </c>
      <c r="N25" s="8">
        <v>8.0011377277548132E-2</v>
      </c>
      <c r="O25" s="8">
        <v>0.13076128664654613</v>
      </c>
      <c r="P25" s="8">
        <v>0.18347005275767975</v>
      </c>
      <c r="Q25" s="8">
        <v>0.25172515778957516</v>
      </c>
      <c r="R25" s="8">
        <v>0.48369718534376971</v>
      </c>
      <c r="S25" s="8">
        <v>0.83743529860458465</v>
      </c>
    </row>
    <row r="26" spans="2:19" ht="15" thickBot="1" x14ac:dyDescent="0.25">
      <c r="C26" s="1">
        <v>0.19228200000000001</v>
      </c>
      <c r="D26" s="2">
        <v>0.36859700000000001</v>
      </c>
      <c r="E26" s="2">
        <v>0.60152099999999997</v>
      </c>
      <c r="F26" s="2">
        <v>0.85393200000000002</v>
      </c>
      <c r="G26" s="2">
        <v>0.82950199999999996</v>
      </c>
      <c r="H26" s="2">
        <v>0.77206900000000001</v>
      </c>
      <c r="I26" s="2">
        <v>0.75449999999999995</v>
      </c>
      <c r="K26" s="1">
        <v>8</v>
      </c>
      <c r="L26" s="8">
        <v>4.428019069473323E-3</v>
      </c>
      <c r="M26" s="8">
        <v>1.3634477260250646E-2</v>
      </c>
      <c r="N26" s="8">
        <v>2.8820239346023069E-2</v>
      </c>
      <c r="O26" s="8">
        <v>4.5400820610935401E-2</v>
      </c>
      <c r="P26" s="8">
        <v>6.7134447839686043E-2</v>
      </c>
      <c r="Q26" s="8">
        <v>9.6248525644112903E-2</v>
      </c>
      <c r="R26" s="8">
        <v>0.19358323248179835</v>
      </c>
      <c r="S26" s="8">
        <v>0.3445297330817807</v>
      </c>
    </row>
    <row r="27" spans="2:19" ht="15" thickBot="1" x14ac:dyDescent="0.25">
      <c r="C27" s="1">
        <v>0.19241900000000001</v>
      </c>
      <c r="D27" s="2">
        <v>0.32569500000000001</v>
      </c>
      <c r="E27" s="2">
        <v>0.63048599999999999</v>
      </c>
      <c r="F27" s="2">
        <v>0.83566799999999997</v>
      </c>
      <c r="G27" s="2">
        <v>0.82893799999999995</v>
      </c>
      <c r="H27" s="2">
        <v>0.81022799999999995</v>
      </c>
      <c r="I27" s="2">
        <v>0.82814100000000002</v>
      </c>
      <c r="K27" s="1">
        <v>16</v>
      </c>
      <c r="L27" s="8">
        <v>2.2180803685385472E-3</v>
      </c>
      <c r="M27" s="8">
        <v>6.9008132795332841E-3</v>
      </c>
      <c r="N27" s="8">
        <v>1.4579539639006583E-2</v>
      </c>
      <c r="O27" s="8">
        <v>2.3270605717449714E-2</v>
      </c>
      <c r="P27" s="8">
        <v>3.3723116450541261E-2</v>
      </c>
      <c r="Q27" s="8">
        <v>5.0370422628484665E-2</v>
      </c>
      <c r="R27" s="8">
        <v>0.10338277746115913</v>
      </c>
      <c r="S27" s="8">
        <v>0.1837917016820734</v>
      </c>
    </row>
    <row r="28" spans="2:19" ht="15" thickBot="1" x14ac:dyDescent="0.25">
      <c r="B28" s="6" t="s">
        <v>0</v>
      </c>
      <c r="C28" s="3">
        <f>AVERAGE(C23:C27)</f>
        <v>0.1949988</v>
      </c>
      <c r="D28" s="3">
        <f t="shared" ref="D28:I28" si="6">AVERAGE(D23:D27)</f>
        <v>0.37112200000000006</v>
      </c>
      <c r="E28" s="3">
        <f t="shared" si="6"/>
        <v>0.60928459999999995</v>
      </c>
      <c r="F28" s="3">
        <f t="shared" si="6"/>
        <v>0.84575459999999991</v>
      </c>
      <c r="G28" s="3">
        <f t="shared" si="6"/>
        <v>0.83592659999999996</v>
      </c>
      <c r="H28" s="3">
        <f t="shared" si="6"/>
        <v>0.81697540000000013</v>
      </c>
      <c r="I28" s="3">
        <f t="shared" si="6"/>
        <v>0.77214479999999996</v>
      </c>
      <c r="K28" s="1">
        <v>32</v>
      </c>
      <c r="L28" s="8">
        <v>1.1337752099910008E-3</v>
      </c>
      <c r="M28" s="8">
        <v>3.6406278413462214E-3</v>
      </c>
      <c r="N28" s="8">
        <v>7.4588690185775474E-3</v>
      </c>
      <c r="O28" s="8">
        <v>1.247858099781249E-2</v>
      </c>
      <c r="P28" s="8">
        <v>1.7749730589286652E-2</v>
      </c>
      <c r="Q28" s="8">
        <v>2.6379533155746232E-2</v>
      </c>
      <c r="R28" s="8">
        <v>5.3514957621248874E-2</v>
      </c>
      <c r="S28" s="8">
        <v>9.7968034192045111E-2</v>
      </c>
    </row>
    <row r="29" spans="2:19" ht="15" thickBot="1" x14ac:dyDescent="0.25">
      <c r="B29" s="6" t="s">
        <v>1</v>
      </c>
      <c r="C29" s="7">
        <f>$C$28/C28</f>
        <v>1</v>
      </c>
      <c r="D29" s="7">
        <f t="shared" ref="D29:H29" si="7">$C$28/D28</f>
        <v>0.52543045144184386</v>
      </c>
      <c r="E29" s="7">
        <f t="shared" si="7"/>
        <v>0.32004550911019253</v>
      </c>
      <c r="F29" s="7">
        <f t="shared" si="7"/>
        <v>0.23056191476818455</v>
      </c>
      <c r="G29" s="7">
        <f t="shared" si="7"/>
        <v>0.23327263422410532</v>
      </c>
      <c r="H29" s="7">
        <f t="shared" si="7"/>
        <v>0.23868380859448152</v>
      </c>
      <c r="I29" s="7">
        <f>$C$28/I28</f>
        <v>0.25254175123629663</v>
      </c>
      <c r="K29" s="1">
        <v>64</v>
      </c>
      <c r="L29" s="8">
        <v>6.2372413633342131E-4</v>
      </c>
      <c r="M29" s="8">
        <v>1.9185224994287147E-3</v>
      </c>
      <c r="N29" s="8">
        <v>3.9459648630671348E-3</v>
      </c>
      <c r="O29" s="8">
        <v>6.5941418382334882E-3</v>
      </c>
      <c r="P29" s="8">
        <v>9.5852294018122751E-3</v>
      </c>
      <c r="Q29" s="8">
        <v>1.461534826935078E-2</v>
      </c>
      <c r="R29" s="8">
        <v>2.8518345589776586E-2</v>
      </c>
      <c r="S29" s="8">
        <v>5.3404684606326698E-2</v>
      </c>
    </row>
    <row r="30" spans="2:19" ht="15" thickBot="1" x14ac:dyDescent="0.25">
      <c r="B30" s="6" t="s">
        <v>2</v>
      </c>
      <c r="C30" s="8">
        <f>C29/C22</f>
        <v>1</v>
      </c>
      <c r="D30" s="8">
        <f t="shared" ref="D30" si="8">D29/D22</f>
        <v>0.26271522572092193</v>
      </c>
      <c r="E30" s="8">
        <f t="shared" ref="E30" si="9">E29/E22</f>
        <v>8.0011377277548132E-2</v>
      </c>
      <c r="F30" s="8">
        <f t="shared" ref="F30" si="10">F29/F22</f>
        <v>2.8820239346023069E-2</v>
      </c>
      <c r="G30" s="8">
        <f t="shared" ref="G30" si="11">G29/G22</f>
        <v>1.4579539639006583E-2</v>
      </c>
      <c r="H30" s="8">
        <f t="shared" ref="H30" si="12">H29/H22</f>
        <v>7.4588690185775474E-3</v>
      </c>
      <c r="I30" s="8">
        <f t="shared" ref="I30" si="13">I29/I22</f>
        <v>3.9459648630671348E-3</v>
      </c>
      <c r="L30" s="5"/>
    </row>
    <row r="31" spans="2:19" ht="15" thickBot="1" x14ac:dyDescent="0.25"/>
    <row r="32" spans="2:19" ht="15" thickBot="1" x14ac:dyDescent="0.25">
      <c r="B32" s="6">
        <v>1024</v>
      </c>
      <c r="C32" s="1">
        <v>1</v>
      </c>
      <c r="D32" s="1">
        <v>2</v>
      </c>
      <c r="E32" s="1">
        <v>4</v>
      </c>
      <c r="F32" s="1">
        <v>8</v>
      </c>
      <c r="G32" s="1">
        <v>16</v>
      </c>
      <c r="H32" s="1">
        <v>32</v>
      </c>
      <c r="I32" s="1">
        <v>64</v>
      </c>
    </row>
    <row r="33" spans="2:9" ht="15" thickBot="1" x14ac:dyDescent="0.25">
      <c r="C33" s="1">
        <v>0.45088099999999998</v>
      </c>
      <c r="D33" s="2">
        <v>0.61551</v>
      </c>
      <c r="E33" s="2">
        <v>0.85497000000000001</v>
      </c>
      <c r="F33" s="2">
        <v>1.19747</v>
      </c>
      <c r="G33" s="2">
        <v>1.2056899999999999</v>
      </c>
      <c r="H33" s="2">
        <v>1.1091</v>
      </c>
      <c r="I33" s="2">
        <v>1.03592</v>
      </c>
    </row>
    <row r="34" spans="2:9" ht="15" thickBot="1" x14ac:dyDescent="0.25">
      <c r="C34" s="1">
        <v>0.43131000000000003</v>
      </c>
      <c r="D34" s="2">
        <v>0.59543199999999996</v>
      </c>
      <c r="E34" s="2">
        <v>0.85343400000000003</v>
      </c>
      <c r="F34" s="2">
        <v>1.19018</v>
      </c>
      <c r="G34" s="2">
        <v>1.1849499999999999</v>
      </c>
      <c r="H34" s="2">
        <v>1.14646</v>
      </c>
      <c r="I34" s="2">
        <v>1.07064</v>
      </c>
    </row>
    <row r="35" spans="2:9" ht="15" thickBot="1" x14ac:dyDescent="0.25">
      <c r="C35" s="1">
        <v>0.45068799999999998</v>
      </c>
      <c r="D35" s="2">
        <v>0.63563999999999998</v>
      </c>
      <c r="E35" s="2">
        <v>0.84886300000000003</v>
      </c>
      <c r="F35" s="2">
        <v>1.23716</v>
      </c>
      <c r="G35" s="2">
        <v>1.22959</v>
      </c>
      <c r="H35" s="2">
        <v>1.10751</v>
      </c>
      <c r="I35" s="2">
        <v>1.1126499999999999</v>
      </c>
    </row>
    <row r="36" spans="2:9" ht="15" thickBot="1" x14ac:dyDescent="0.25">
      <c r="C36" s="1">
        <v>0.449598</v>
      </c>
      <c r="D36" s="2">
        <v>0.627826</v>
      </c>
      <c r="E36" s="2">
        <v>0.84669399999999995</v>
      </c>
      <c r="F36" s="2">
        <v>1.2428600000000001</v>
      </c>
      <c r="G36" s="2">
        <v>1.17622</v>
      </c>
      <c r="H36" s="2">
        <v>1.1528</v>
      </c>
      <c r="I36" s="2">
        <v>1.0440799999999999</v>
      </c>
    </row>
    <row r="37" spans="2:9" ht="15" thickBot="1" x14ac:dyDescent="0.25">
      <c r="C37" s="1">
        <v>0.45002300000000001</v>
      </c>
      <c r="D37" s="2">
        <v>0.60176700000000005</v>
      </c>
      <c r="E37" s="2">
        <v>0.864313</v>
      </c>
      <c r="F37" s="2">
        <v>1.2789699999999999</v>
      </c>
      <c r="G37" s="2">
        <v>1.1995800000000001</v>
      </c>
      <c r="H37" s="2">
        <v>1.0749599999999999</v>
      </c>
      <c r="I37" s="2">
        <v>1.02668</v>
      </c>
    </row>
    <row r="38" spans="2:9" ht="15" thickBot="1" x14ac:dyDescent="0.25">
      <c r="B38" s="6" t="s">
        <v>0</v>
      </c>
      <c r="C38" s="3">
        <f>AVERAGE(C33:C37)</f>
        <v>0.44650000000000001</v>
      </c>
      <c r="D38" s="3">
        <f t="shared" ref="D38:I38" si="14">AVERAGE(D33:D37)</f>
        <v>0.61523499999999998</v>
      </c>
      <c r="E38" s="3">
        <f t="shared" si="14"/>
        <v>0.85365479999999994</v>
      </c>
      <c r="F38" s="3">
        <f t="shared" si="14"/>
        <v>1.2293280000000002</v>
      </c>
      <c r="G38" s="3">
        <f t="shared" si="14"/>
        <v>1.199206</v>
      </c>
      <c r="H38" s="3">
        <f t="shared" si="14"/>
        <v>1.118166</v>
      </c>
      <c r="I38" s="3">
        <f t="shared" si="14"/>
        <v>1.0579939999999999</v>
      </c>
    </row>
    <row r="39" spans="2:9" ht="15" thickBot="1" x14ac:dyDescent="0.25">
      <c r="B39" s="6" t="s">
        <v>1</v>
      </c>
      <c r="C39" s="7">
        <f>$C$38/C38</f>
        <v>1</v>
      </c>
      <c r="D39" s="7">
        <f t="shared" ref="D39:I39" si="15">$C$38/D38</f>
        <v>0.72573894528107152</v>
      </c>
      <c r="E39" s="7">
        <f t="shared" si="15"/>
        <v>0.52304514658618451</v>
      </c>
      <c r="F39" s="7">
        <f t="shared" si="15"/>
        <v>0.36320656488748321</v>
      </c>
      <c r="G39" s="7">
        <f t="shared" si="15"/>
        <v>0.37232969147919542</v>
      </c>
      <c r="H39" s="7">
        <f t="shared" si="15"/>
        <v>0.39931459192999968</v>
      </c>
      <c r="I39" s="7">
        <f t="shared" si="15"/>
        <v>0.42202507764694325</v>
      </c>
    </row>
    <row r="40" spans="2:9" ht="15" thickBot="1" x14ac:dyDescent="0.25">
      <c r="B40" s="6" t="s">
        <v>2</v>
      </c>
      <c r="C40" s="8">
        <f>C39/C32</f>
        <v>1</v>
      </c>
      <c r="D40" s="8">
        <f t="shared" ref="D40" si="16">D39/D32</f>
        <v>0.36286947264053576</v>
      </c>
      <c r="E40" s="8">
        <f t="shared" ref="E40" si="17">E39/E32</f>
        <v>0.13076128664654613</v>
      </c>
      <c r="F40" s="8">
        <f t="shared" ref="F40" si="18">F39/F32</f>
        <v>4.5400820610935401E-2</v>
      </c>
      <c r="G40" s="8">
        <f t="shared" ref="G40" si="19">G39/G32</f>
        <v>2.3270605717449714E-2</v>
      </c>
      <c r="H40" s="8">
        <f t="shared" ref="H40" si="20">H39/H32</f>
        <v>1.247858099781249E-2</v>
      </c>
      <c r="I40" s="8">
        <f t="shared" ref="I40" si="21">I39/I32</f>
        <v>6.5941418382334882E-3</v>
      </c>
    </row>
    <row r="41" spans="2:9" ht="15" thickBot="1" x14ac:dyDescent="0.25"/>
    <row r="42" spans="2:9" ht="15" thickBot="1" x14ac:dyDescent="0.25">
      <c r="B42" s="6">
        <v>1280</v>
      </c>
      <c r="C42" s="1">
        <v>1</v>
      </c>
      <c r="D42" s="1">
        <v>2</v>
      </c>
      <c r="E42" s="1">
        <v>4</v>
      </c>
      <c r="F42" s="1">
        <v>8</v>
      </c>
      <c r="G42" s="1">
        <v>16</v>
      </c>
      <c r="H42" s="1">
        <v>32</v>
      </c>
      <c r="I42" s="1">
        <v>64</v>
      </c>
    </row>
    <row r="43" spans="2:9" ht="15" thickBot="1" x14ac:dyDescent="0.25">
      <c r="C43" s="1">
        <v>0.86382899999999996</v>
      </c>
      <c r="D43" s="2">
        <v>0.99900599999999995</v>
      </c>
      <c r="E43" s="2">
        <v>1.1923999999999999</v>
      </c>
      <c r="F43" s="2">
        <v>1.62456</v>
      </c>
      <c r="G43" s="2">
        <v>1.66835</v>
      </c>
      <c r="H43" s="2">
        <v>1.5551600000000001</v>
      </c>
      <c r="I43" s="2">
        <v>1.39889</v>
      </c>
    </row>
    <row r="44" spans="2:9" ht="15" thickBot="1" x14ac:dyDescent="0.25">
      <c r="C44" s="1">
        <v>0.86407599999999996</v>
      </c>
      <c r="D44" s="2">
        <v>0.934693</v>
      </c>
      <c r="E44" s="2">
        <v>1.17093</v>
      </c>
      <c r="F44" s="2">
        <v>1.5308299999999999</v>
      </c>
      <c r="G44" s="2">
        <v>1.62557</v>
      </c>
      <c r="H44" s="2">
        <v>1.55281</v>
      </c>
      <c r="I44" s="2">
        <v>1.3989499999999999</v>
      </c>
    </row>
    <row r="45" spans="2:9" ht="15" thickBot="1" x14ac:dyDescent="0.25">
      <c r="C45" s="1">
        <v>0.86340300000000003</v>
      </c>
      <c r="D45" s="2">
        <v>0.95107699999999995</v>
      </c>
      <c r="E45" s="2">
        <v>1.1233</v>
      </c>
      <c r="F45" s="2">
        <v>1.65747</v>
      </c>
      <c r="G45" s="2">
        <v>1.58067</v>
      </c>
      <c r="H45" s="2">
        <v>1.4908999999999999</v>
      </c>
      <c r="I45" s="2">
        <v>1.42601</v>
      </c>
    </row>
    <row r="46" spans="2:9" ht="15" thickBot="1" x14ac:dyDescent="0.25">
      <c r="C46" s="1">
        <v>0.86701399999999995</v>
      </c>
      <c r="D46" s="2">
        <v>0.92758499999999999</v>
      </c>
      <c r="E46" s="2">
        <v>1.21411</v>
      </c>
      <c r="F46" s="2">
        <v>1.6027100000000001</v>
      </c>
      <c r="G46" s="2">
        <v>1.53853</v>
      </c>
      <c r="H46" s="2">
        <v>1.50278</v>
      </c>
      <c r="I46" s="2">
        <v>1.4253899999999999</v>
      </c>
    </row>
    <row r="47" spans="2:9" ht="15" thickBot="1" x14ac:dyDescent="0.25">
      <c r="C47" s="1">
        <v>0.86363800000000002</v>
      </c>
      <c r="D47" s="2">
        <v>0.98688100000000001</v>
      </c>
      <c r="E47" s="2">
        <v>1.18845</v>
      </c>
      <c r="F47" s="2">
        <v>1.63164</v>
      </c>
      <c r="G47" s="2">
        <v>1.5968899999999999</v>
      </c>
      <c r="H47" s="2">
        <v>1.5075499999999999</v>
      </c>
      <c r="I47" s="2">
        <v>1.3960399999999999</v>
      </c>
    </row>
    <row r="48" spans="2:9" ht="15" thickBot="1" x14ac:dyDescent="0.25">
      <c r="B48" s="6" t="s">
        <v>0</v>
      </c>
      <c r="C48" s="3">
        <f>AVERAGE(C43:C47)</f>
        <v>0.86439199999999994</v>
      </c>
      <c r="D48" s="3">
        <f t="shared" ref="D48:I48" si="22">AVERAGE(D43:D47)</f>
        <v>0.95984839999999993</v>
      </c>
      <c r="E48" s="3">
        <f t="shared" si="22"/>
        <v>1.1778379999999999</v>
      </c>
      <c r="F48" s="3">
        <f t="shared" si="22"/>
        <v>1.609442</v>
      </c>
      <c r="G48" s="3">
        <f t="shared" si="22"/>
        <v>1.6020019999999999</v>
      </c>
      <c r="H48" s="3">
        <f t="shared" si="22"/>
        <v>1.5218399999999999</v>
      </c>
      <c r="I48" s="3">
        <f t="shared" si="22"/>
        <v>1.4090560000000001</v>
      </c>
    </row>
    <row r="49" spans="2:9" ht="15" thickBot="1" x14ac:dyDescent="0.25">
      <c r="B49" s="6" t="s">
        <v>1</v>
      </c>
      <c r="C49" s="7">
        <f>$C$48/C48</f>
        <v>1</v>
      </c>
      <c r="D49" s="7">
        <f t="shared" ref="D49:I49" si="23">$C$48/D48</f>
        <v>0.90055054527360778</v>
      </c>
      <c r="E49" s="7">
        <f t="shared" si="23"/>
        <v>0.73388021103071899</v>
      </c>
      <c r="F49" s="7">
        <f t="shared" si="23"/>
        <v>0.53707558271748834</v>
      </c>
      <c r="G49" s="7">
        <f t="shared" si="23"/>
        <v>0.53956986320866018</v>
      </c>
      <c r="H49" s="7">
        <f t="shared" si="23"/>
        <v>0.56799137885717288</v>
      </c>
      <c r="I49" s="7">
        <f t="shared" si="23"/>
        <v>0.61345468171598561</v>
      </c>
    </row>
    <row r="50" spans="2:9" ht="15" thickBot="1" x14ac:dyDescent="0.25">
      <c r="B50" s="6" t="s">
        <v>2</v>
      </c>
      <c r="C50" s="8">
        <f>C49/C42</f>
        <v>1</v>
      </c>
      <c r="D50" s="8">
        <f t="shared" ref="D50" si="24">D49/D42</f>
        <v>0.45027527263680389</v>
      </c>
      <c r="E50" s="8">
        <f t="shared" ref="E50" si="25">E49/E42</f>
        <v>0.18347005275767975</v>
      </c>
      <c r="F50" s="8">
        <f t="shared" ref="F50" si="26">F49/F42</f>
        <v>6.7134447839686043E-2</v>
      </c>
      <c r="G50" s="8">
        <f t="shared" ref="G50" si="27">G49/G42</f>
        <v>3.3723116450541261E-2</v>
      </c>
      <c r="H50" s="8">
        <f t="shared" ref="H50" si="28">H49/H42</f>
        <v>1.7749730589286652E-2</v>
      </c>
      <c r="I50" s="8">
        <f t="shared" ref="I50" si="29">I49/I42</f>
        <v>9.5852294018122751E-3</v>
      </c>
    </row>
    <row r="51" spans="2:9" ht="15" thickBot="1" x14ac:dyDescent="0.25"/>
    <row r="52" spans="2:9" ht="15" thickBot="1" x14ac:dyDescent="0.25">
      <c r="B52" s="6">
        <v>1536</v>
      </c>
      <c r="C52" s="1">
        <v>1</v>
      </c>
      <c r="D52" s="1">
        <v>2</v>
      </c>
      <c r="E52" s="1">
        <v>4</v>
      </c>
      <c r="F52" s="1">
        <v>8</v>
      </c>
      <c r="G52" s="1">
        <v>16</v>
      </c>
      <c r="H52" s="1">
        <v>32</v>
      </c>
      <c r="I52" s="1">
        <v>64</v>
      </c>
    </row>
    <row r="53" spans="2:9" ht="15" thickBot="1" x14ac:dyDescent="0.25">
      <c r="C53" s="1">
        <v>1.5972599999999999</v>
      </c>
      <c r="D53" s="2">
        <v>1.37869</v>
      </c>
      <c r="E53" s="2">
        <v>1.6261000000000001</v>
      </c>
      <c r="F53" s="2">
        <v>2.1724600000000001</v>
      </c>
      <c r="G53" s="2">
        <v>2.03491</v>
      </c>
      <c r="H53" s="2">
        <v>1.9534800000000001</v>
      </c>
      <c r="I53" s="2">
        <v>1.7273000000000001</v>
      </c>
    </row>
    <row r="54" spans="2:9" ht="15" thickBot="1" x14ac:dyDescent="0.25">
      <c r="C54" s="1">
        <v>1.65385</v>
      </c>
      <c r="D54" s="2">
        <v>1.4076</v>
      </c>
      <c r="E54" s="2">
        <v>1.6116200000000001</v>
      </c>
      <c r="F54" s="2">
        <v>2.1049600000000002</v>
      </c>
      <c r="G54" s="2">
        <v>2.0551599999999999</v>
      </c>
      <c r="H54" s="2">
        <v>1.9853799999999999</v>
      </c>
      <c r="I54" s="2">
        <v>1.7541100000000001</v>
      </c>
    </row>
    <row r="55" spans="2:9" ht="15" thickBot="1" x14ac:dyDescent="0.25">
      <c r="C55" s="1">
        <v>1.7156400000000001</v>
      </c>
      <c r="D55" s="2">
        <v>1.45001</v>
      </c>
      <c r="E55" s="2">
        <v>1.6008</v>
      </c>
      <c r="F55" s="2">
        <v>2.0456799999999999</v>
      </c>
      <c r="G55" s="2">
        <v>2.0345</v>
      </c>
      <c r="H55" s="2">
        <v>1.9331199999999999</v>
      </c>
      <c r="I55" s="2">
        <v>1.79878</v>
      </c>
    </row>
    <row r="56" spans="2:9" ht="15" thickBot="1" x14ac:dyDescent="0.25">
      <c r="C56" s="1">
        <v>1.57541</v>
      </c>
      <c r="D56" s="2">
        <v>1.4239900000000001</v>
      </c>
      <c r="E56" s="2">
        <v>1.627</v>
      </c>
      <c r="F56" s="2">
        <v>2.1567500000000002</v>
      </c>
      <c r="G56" s="2">
        <v>1.9896400000000001</v>
      </c>
      <c r="H56" s="2">
        <v>1.8166800000000001</v>
      </c>
      <c r="I56" s="2">
        <v>1.7507600000000001</v>
      </c>
    </row>
    <row r="57" spans="2:9" ht="15" thickBot="1" x14ac:dyDescent="0.25">
      <c r="C57" s="1">
        <v>1.6115299999999999</v>
      </c>
      <c r="D57" s="2">
        <v>1.34518</v>
      </c>
      <c r="E57" s="2">
        <v>1.63229</v>
      </c>
      <c r="F57" s="2">
        <v>2.1095199999999998</v>
      </c>
      <c r="G57" s="2">
        <v>2.0029499999999998</v>
      </c>
      <c r="H57" s="2">
        <v>1.97045</v>
      </c>
      <c r="I57" s="2">
        <v>1.68601</v>
      </c>
    </row>
    <row r="58" spans="2:9" ht="15" thickBot="1" x14ac:dyDescent="0.25">
      <c r="B58" s="6" t="s">
        <v>0</v>
      </c>
      <c r="C58" s="3">
        <f>AVERAGE(C53:C57)</f>
        <v>1.6307379999999998</v>
      </c>
      <c r="D58" s="3">
        <f t="shared" ref="D58" si="30">AVERAGE(D53:D57)</f>
        <v>1.4010940000000001</v>
      </c>
      <c r="E58" s="3">
        <f t="shared" ref="E58" si="31">AVERAGE(E53:E57)</f>
        <v>1.6195620000000002</v>
      </c>
      <c r="F58" s="3">
        <f t="shared" ref="F58" si="32">AVERAGE(F53:F57)</f>
        <v>2.117874</v>
      </c>
      <c r="G58" s="3">
        <f t="shared" ref="G58" si="33">AVERAGE(G53:G57)</f>
        <v>2.0234320000000001</v>
      </c>
      <c r="H58" s="3">
        <f t="shared" ref="H58" si="34">AVERAGE(H53:H57)</f>
        <v>1.9318219999999999</v>
      </c>
      <c r="I58" s="3">
        <f t="shared" ref="I58" si="35">AVERAGE(I53:I57)</f>
        <v>1.7433920000000001</v>
      </c>
    </row>
    <row r="59" spans="2:9" ht="15" thickBot="1" x14ac:dyDescent="0.25">
      <c r="B59" s="6" t="s">
        <v>1</v>
      </c>
      <c r="C59" s="7">
        <f>$C$58/C58</f>
        <v>1</v>
      </c>
      <c r="D59" s="7">
        <f t="shared" ref="D59:I59" si="36">$C$58/D58</f>
        <v>1.1639033498109332</v>
      </c>
      <c r="E59" s="7">
        <f t="shared" si="36"/>
        <v>1.0069006311583006</v>
      </c>
      <c r="F59" s="7">
        <f t="shared" si="36"/>
        <v>0.76998820515290323</v>
      </c>
      <c r="G59" s="7">
        <f t="shared" si="36"/>
        <v>0.80592676205575464</v>
      </c>
      <c r="H59" s="7">
        <f t="shared" si="36"/>
        <v>0.84414506098387943</v>
      </c>
      <c r="I59" s="7">
        <f t="shared" si="36"/>
        <v>0.9353822892384499</v>
      </c>
    </row>
    <row r="60" spans="2:9" ht="15" thickBot="1" x14ac:dyDescent="0.25">
      <c r="B60" s="6" t="s">
        <v>2</v>
      </c>
      <c r="C60" s="8">
        <f>C59/C52</f>
        <v>1</v>
      </c>
      <c r="D60" s="8">
        <f t="shared" ref="D60" si="37">D59/D52</f>
        <v>0.58195167490546662</v>
      </c>
      <c r="E60" s="8">
        <f t="shared" ref="E60" si="38">E59/E52</f>
        <v>0.25172515778957516</v>
      </c>
      <c r="F60" s="8">
        <f t="shared" ref="F60" si="39">F59/F52</f>
        <v>9.6248525644112903E-2</v>
      </c>
      <c r="G60" s="8">
        <f t="shared" ref="G60" si="40">G59/G52</f>
        <v>5.0370422628484665E-2</v>
      </c>
      <c r="H60" s="8">
        <f t="shared" ref="H60" si="41">H59/H52</f>
        <v>2.6379533155746232E-2</v>
      </c>
      <c r="I60" s="8">
        <f t="shared" ref="I60" si="42">I59/I52</f>
        <v>1.461534826935078E-2</v>
      </c>
    </row>
    <row r="61" spans="2:9" ht="15" thickBot="1" x14ac:dyDescent="0.25"/>
    <row r="62" spans="2:9" ht="15" thickBot="1" x14ac:dyDescent="0.25">
      <c r="B62" s="6">
        <v>1792</v>
      </c>
      <c r="C62" s="1">
        <v>1</v>
      </c>
      <c r="D62" s="1">
        <v>2</v>
      </c>
      <c r="E62" s="1">
        <v>4</v>
      </c>
      <c r="F62" s="1">
        <v>8</v>
      </c>
      <c r="G62" s="1">
        <v>16</v>
      </c>
      <c r="H62" s="1">
        <v>32</v>
      </c>
      <c r="I62" s="1">
        <v>64</v>
      </c>
    </row>
    <row r="63" spans="2:9" ht="15" thickBot="1" x14ac:dyDescent="0.25">
      <c r="C63" s="1">
        <v>3.95661</v>
      </c>
      <c r="D63" s="2">
        <v>1.9777899999999999</v>
      </c>
      <c r="E63" s="2">
        <v>2.0715499999999998</v>
      </c>
      <c r="F63" s="2">
        <v>2.5495299999999999</v>
      </c>
      <c r="G63" s="2">
        <v>2.4085899999999998</v>
      </c>
      <c r="H63" s="2">
        <v>2.37127</v>
      </c>
      <c r="I63" s="2">
        <v>2.2150300000000001</v>
      </c>
    </row>
    <row r="64" spans="2:9" ht="15" thickBot="1" x14ac:dyDescent="0.25">
      <c r="C64" s="1">
        <v>4.0297099999999997</v>
      </c>
      <c r="D64" s="2">
        <v>1.8840300000000001</v>
      </c>
      <c r="E64" s="2">
        <v>1.99502</v>
      </c>
      <c r="F64" s="2">
        <v>2.6174400000000002</v>
      </c>
      <c r="G64" s="2">
        <v>2.5066799999999998</v>
      </c>
      <c r="H64" s="2">
        <v>2.3903699999999999</v>
      </c>
      <c r="I64" s="2">
        <v>2.1566999999999998</v>
      </c>
    </row>
    <row r="65" spans="2:9" ht="15" thickBot="1" x14ac:dyDescent="0.25">
      <c r="C65" s="1">
        <v>4.1362199999999998</v>
      </c>
      <c r="D65" s="2">
        <v>1.9338</v>
      </c>
      <c r="E65" s="2">
        <v>2.1051700000000002</v>
      </c>
      <c r="F65" s="2">
        <v>2.5285299999999999</v>
      </c>
      <c r="G65" s="2">
        <v>2.3970199999999999</v>
      </c>
      <c r="H65" s="2">
        <v>2.3216700000000001</v>
      </c>
      <c r="I65" s="2">
        <v>2.1996500000000001</v>
      </c>
    </row>
    <row r="66" spans="2:9" ht="15" thickBot="1" x14ac:dyDescent="0.25">
      <c r="C66" s="1">
        <v>3.9124400000000001</v>
      </c>
      <c r="D66" s="2">
        <v>1.9123600000000001</v>
      </c>
      <c r="E66" s="2">
        <v>2.1026400000000001</v>
      </c>
      <c r="F66" s="2">
        <v>2.5701000000000001</v>
      </c>
      <c r="G66" s="2">
        <v>2.40096</v>
      </c>
      <c r="H66" s="2">
        <v>2.2892600000000001</v>
      </c>
      <c r="I66" s="2">
        <v>2.1864300000000001</v>
      </c>
    </row>
    <row r="67" spans="2:9" ht="15" thickBot="1" x14ac:dyDescent="0.25">
      <c r="C67" s="1">
        <v>3.9916700000000001</v>
      </c>
      <c r="D67" s="2">
        <v>2.0047999999999999</v>
      </c>
      <c r="E67" s="2">
        <v>2.0764399999999998</v>
      </c>
      <c r="F67" s="2">
        <v>2.66595</v>
      </c>
      <c r="G67" s="2">
        <v>2.39385</v>
      </c>
      <c r="H67" s="2">
        <v>2.3219699999999999</v>
      </c>
      <c r="I67" s="2">
        <v>2.2146499999999998</v>
      </c>
    </row>
    <row r="68" spans="2:9" ht="15" thickBot="1" x14ac:dyDescent="0.25">
      <c r="B68" s="6" t="s">
        <v>0</v>
      </c>
      <c r="C68" s="3">
        <f>AVERAGE(C63:C67)</f>
        <v>4.0053299999999989</v>
      </c>
      <c r="D68" s="3">
        <f t="shared" ref="D68:I68" si="43">AVERAGE(D63:D67)</f>
        <v>1.9425559999999997</v>
      </c>
      <c r="E68" s="3">
        <f t="shared" si="43"/>
        <v>2.0701640000000001</v>
      </c>
      <c r="F68" s="3">
        <f t="shared" si="43"/>
        <v>2.5863100000000001</v>
      </c>
      <c r="G68" s="3">
        <f t="shared" si="43"/>
        <v>2.4214199999999999</v>
      </c>
      <c r="H68" s="3">
        <f t="shared" si="43"/>
        <v>2.338908</v>
      </c>
      <c r="I68" s="3">
        <f t="shared" si="43"/>
        <v>2.1944919999999994</v>
      </c>
    </row>
    <row r="69" spans="2:9" ht="15" thickBot="1" x14ac:dyDescent="0.25">
      <c r="B69" s="6" t="s">
        <v>1</v>
      </c>
      <c r="C69" s="7">
        <f>$C$68/C68</f>
        <v>1</v>
      </c>
      <c r="D69" s="7">
        <f t="shared" ref="D69:H69" si="44">$C$68/D68</f>
        <v>2.0618865041728522</v>
      </c>
      <c r="E69" s="7">
        <f t="shared" si="44"/>
        <v>1.9347887413750788</v>
      </c>
      <c r="F69" s="7">
        <f t="shared" si="44"/>
        <v>1.5486658598543868</v>
      </c>
      <c r="G69" s="7">
        <f t="shared" si="44"/>
        <v>1.6541244393785461</v>
      </c>
      <c r="H69" s="7">
        <f t="shared" si="44"/>
        <v>1.712478643879964</v>
      </c>
      <c r="I69" s="7">
        <f>$C$68/I68</f>
        <v>1.8251741177457015</v>
      </c>
    </row>
    <row r="70" spans="2:9" ht="15" thickBot="1" x14ac:dyDescent="0.25">
      <c r="B70" s="6" t="s">
        <v>2</v>
      </c>
      <c r="C70" s="8">
        <f>C69/C62</f>
        <v>1</v>
      </c>
      <c r="D70" s="8">
        <f t="shared" ref="D70:I70" si="45">D69/D62</f>
        <v>1.0309432520864261</v>
      </c>
      <c r="E70" s="8">
        <f t="shared" si="45"/>
        <v>0.48369718534376971</v>
      </c>
      <c r="F70" s="8">
        <f t="shared" si="45"/>
        <v>0.19358323248179835</v>
      </c>
      <c r="G70" s="8">
        <f t="shared" si="45"/>
        <v>0.10338277746115913</v>
      </c>
      <c r="H70" s="8">
        <f t="shared" si="45"/>
        <v>5.3514957621248874E-2</v>
      </c>
      <c r="I70" s="8">
        <f t="shared" si="45"/>
        <v>2.8518345589776586E-2</v>
      </c>
    </row>
    <row r="71" spans="2:9" ht="15" thickBot="1" x14ac:dyDescent="0.25"/>
    <row r="72" spans="2:9" ht="15" thickBot="1" x14ac:dyDescent="0.25">
      <c r="B72" s="6">
        <v>2048</v>
      </c>
      <c r="C72" s="1">
        <v>1</v>
      </c>
      <c r="D72" s="1">
        <v>2</v>
      </c>
      <c r="E72" s="1">
        <v>4</v>
      </c>
      <c r="F72" s="1">
        <v>8</v>
      </c>
      <c r="G72" s="1">
        <v>16</v>
      </c>
      <c r="H72" s="1">
        <v>32</v>
      </c>
      <c r="I72" s="1">
        <v>64</v>
      </c>
    </row>
    <row r="73" spans="2:9" ht="15" thickBot="1" x14ac:dyDescent="0.25">
      <c r="C73" s="1">
        <v>8.8378599999999992</v>
      </c>
      <c r="D73" s="2">
        <v>2.74492</v>
      </c>
      <c r="E73" s="2">
        <v>2.54419</v>
      </c>
      <c r="F73" s="2">
        <v>3.1987299999999999</v>
      </c>
      <c r="G73" s="2">
        <v>2.9257300000000002</v>
      </c>
      <c r="H73" s="2">
        <v>2.78064</v>
      </c>
      <c r="I73" s="2">
        <v>2.4846699999999999</v>
      </c>
    </row>
    <row r="74" spans="2:9" ht="15" thickBot="1" x14ac:dyDescent="0.25">
      <c r="C74" s="1">
        <v>8.8416499999999996</v>
      </c>
      <c r="D74" s="2">
        <v>2.75698</v>
      </c>
      <c r="E74" s="2">
        <v>2.66656</v>
      </c>
      <c r="F74" s="2">
        <v>3.1929699999999999</v>
      </c>
      <c r="G74" s="2">
        <v>3.06772</v>
      </c>
      <c r="H74" s="2">
        <v>2.8232900000000001</v>
      </c>
      <c r="I74" s="2">
        <v>2.54996</v>
      </c>
    </row>
    <row r="75" spans="2:9" ht="15" thickBot="1" x14ac:dyDescent="0.25">
      <c r="C75" s="1">
        <v>8.8190899999999992</v>
      </c>
      <c r="D75" s="2">
        <v>2.7134800000000001</v>
      </c>
      <c r="E75" s="2">
        <v>2.6779199999999999</v>
      </c>
      <c r="F75" s="2">
        <v>3.1061200000000002</v>
      </c>
      <c r="G75" s="2">
        <v>3.0531600000000001</v>
      </c>
      <c r="H75" s="2">
        <v>2.7303199999999999</v>
      </c>
      <c r="I75" s="2">
        <v>2.6843400000000002</v>
      </c>
    </row>
    <row r="76" spans="2:9" ht="15" thickBot="1" x14ac:dyDescent="0.25">
      <c r="C76" s="1">
        <v>8.7742500000000003</v>
      </c>
      <c r="D76" s="2">
        <v>2.6762100000000002</v>
      </c>
      <c r="E76" s="2">
        <v>2.6080999999999999</v>
      </c>
      <c r="F76" s="2">
        <v>3.2437499999999999</v>
      </c>
      <c r="G76" s="2">
        <v>2.9555400000000001</v>
      </c>
      <c r="H76" s="2">
        <v>2.7934700000000001</v>
      </c>
      <c r="I76" s="2">
        <v>2.5897999999999999</v>
      </c>
    </row>
    <row r="77" spans="2:9" ht="15" thickBot="1" x14ac:dyDescent="0.25">
      <c r="C77" s="1">
        <v>8.8177500000000002</v>
      </c>
      <c r="D77" s="2">
        <v>2.6976100000000001</v>
      </c>
      <c r="E77" s="2">
        <v>2.6656200000000001</v>
      </c>
      <c r="F77" s="2">
        <v>3.25509</v>
      </c>
      <c r="G77" s="2">
        <v>2.99125</v>
      </c>
      <c r="H77" s="2">
        <v>2.9363700000000001</v>
      </c>
      <c r="I77" s="2">
        <v>2.5911400000000002</v>
      </c>
    </row>
    <row r="78" spans="2:9" ht="15" thickBot="1" x14ac:dyDescent="0.25">
      <c r="B78" s="6" t="s">
        <v>0</v>
      </c>
      <c r="C78" s="3">
        <f>AVERAGE(C73:C77)</f>
        <v>8.8181199999999986</v>
      </c>
      <c r="D78" s="3">
        <f t="shared" ref="D78:I78" si="46">AVERAGE(D73:D77)</f>
        <v>2.7178400000000003</v>
      </c>
      <c r="E78" s="3">
        <f t="shared" si="46"/>
        <v>2.6324779999999999</v>
      </c>
      <c r="F78" s="3">
        <f t="shared" si="46"/>
        <v>3.1993320000000005</v>
      </c>
      <c r="G78" s="3">
        <f t="shared" si="46"/>
        <v>2.9986800000000002</v>
      </c>
      <c r="H78" s="3">
        <f t="shared" si="46"/>
        <v>2.812818</v>
      </c>
      <c r="I78" s="3">
        <f t="shared" si="46"/>
        <v>2.5799820000000002</v>
      </c>
    </row>
    <row r="79" spans="2:9" ht="15" thickBot="1" x14ac:dyDescent="0.25">
      <c r="B79" s="6" t="s">
        <v>1</v>
      </c>
      <c r="C79" s="7">
        <f>$C$78/C78</f>
        <v>1</v>
      </c>
      <c r="D79" s="7">
        <f t="shared" ref="D79:I79" si="47">$C$78/D78</f>
        <v>3.2445324228063455</v>
      </c>
      <c r="E79" s="7">
        <f t="shared" si="47"/>
        <v>3.3497411944183386</v>
      </c>
      <c r="F79" s="7">
        <f t="shared" si="47"/>
        <v>2.7562378646542456</v>
      </c>
      <c r="G79" s="7">
        <f t="shared" si="47"/>
        <v>2.9406672269131744</v>
      </c>
      <c r="H79" s="7">
        <f t="shared" si="47"/>
        <v>3.1349770941454436</v>
      </c>
      <c r="I79" s="7">
        <f t="shared" si="47"/>
        <v>3.4178998148049087</v>
      </c>
    </row>
    <row r="80" spans="2:9" ht="15" thickBot="1" x14ac:dyDescent="0.25">
      <c r="B80" s="6" t="s">
        <v>2</v>
      </c>
      <c r="C80" s="8">
        <f>C79/C72</f>
        <v>1</v>
      </c>
      <c r="D80" s="8">
        <f t="shared" ref="D80:I80" si="48">D79/D72</f>
        <v>1.6222662114031727</v>
      </c>
      <c r="E80" s="8">
        <f t="shared" si="48"/>
        <v>0.83743529860458465</v>
      </c>
      <c r="F80" s="8">
        <f t="shared" si="48"/>
        <v>0.3445297330817807</v>
      </c>
      <c r="G80" s="8">
        <f t="shared" si="48"/>
        <v>0.1837917016820734</v>
      </c>
      <c r="H80" s="8">
        <f t="shared" si="48"/>
        <v>9.7968034192045111E-2</v>
      </c>
      <c r="I80" s="8">
        <f t="shared" si="48"/>
        <v>5.3404684606326698E-2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Wenjun Lee</dc:creator>
  <cp:lastModifiedBy>Wenjun Lee</cp:lastModifiedBy>
  <dcterms:created xsi:type="dcterms:W3CDTF">2026-03-29T14:54:33Z</dcterms:created>
  <dcterms:modified xsi:type="dcterms:W3CDTF">2026-04-11T17:01:00Z</dcterms:modified>
</cp:coreProperties>
</file>