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urse\并行计算\实验\实验五 寻找完数的Pthreads并行程序\"/>
    </mc:Choice>
  </mc:AlternateContent>
  <xr:revisionPtr revIDLastSave="0" documentId="13_ncr:1_{045F13E6-615F-48B7-B623-BD1CC0936952}" xr6:coauthVersionLast="47" xr6:coauthVersionMax="47" xr10:uidLastSave="{00000000-0000-0000-0000-000000000000}"/>
  <bookViews>
    <workbookView xWindow="5430" yWindow="4755" windowWidth="28785" windowHeight="15345" xr2:uid="{9A0A2D00-F43A-4DD4-97B9-A373009273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" i="1" l="1"/>
  <c r="R22" i="1"/>
  <c r="Q22" i="1"/>
  <c r="P22" i="1"/>
  <c r="O22" i="1"/>
  <c r="N22" i="1"/>
  <c r="M22" i="1"/>
  <c r="L22" i="1"/>
  <c r="S12" i="1"/>
  <c r="R12" i="1"/>
  <c r="Q12" i="1"/>
  <c r="P12" i="1"/>
  <c r="O12" i="1"/>
  <c r="N12" i="1"/>
  <c r="M12" i="1"/>
  <c r="L12" i="1"/>
  <c r="S2" i="1"/>
  <c r="R2" i="1"/>
  <c r="Q2" i="1"/>
  <c r="P2" i="1"/>
  <c r="O2" i="1"/>
  <c r="N2" i="1"/>
  <c r="M2" i="1"/>
  <c r="L2" i="1"/>
  <c r="O3" i="1" a="1"/>
  <c r="O3" i="1" s="1"/>
  <c r="C8" i="1"/>
  <c r="L3" i="1" s="1" a="1"/>
  <c r="L3" i="1" s="1"/>
  <c r="I78" i="1"/>
  <c r="H78" i="1"/>
  <c r="H79" i="1" s="1"/>
  <c r="G78" i="1"/>
  <c r="G79" i="1" s="1"/>
  <c r="F78" i="1"/>
  <c r="F79" i="1" s="1"/>
  <c r="E78" i="1"/>
  <c r="D78" i="1"/>
  <c r="C78" i="1"/>
  <c r="I79" i="1" s="1"/>
  <c r="I68" i="1"/>
  <c r="H68" i="1"/>
  <c r="G68" i="1"/>
  <c r="F68" i="1"/>
  <c r="E68" i="1"/>
  <c r="D68" i="1"/>
  <c r="R3" i="1" s="1" a="1"/>
  <c r="R3" i="1" s="1"/>
  <c r="C68" i="1"/>
  <c r="D69" i="1" s="1"/>
  <c r="I58" i="1"/>
  <c r="H58" i="1"/>
  <c r="G58" i="1"/>
  <c r="F58" i="1"/>
  <c r="Q3" i="1" s="1" a="1"/>
  <c r="Q3" i="1" s="1"/>
  <c r="E58" i="1"/>
  <c r="D58" i="1"/>
  <c r="C58" i="1"/>
  <c r="D48" i="1"/>
  <c r="E48" i="1"/>
  <c r="F48" i="1"/>
  <c r="G48" i="1"/>
  <c r="H48" i="1"/>
  <c r="I48" i="1"/>
  <c r="D38" i="1"/>
  <c r="E38" i="1"/>
  <c r="F38" i="1"/>
  <c r="G38" i="1"/>
  <c r="H38" i="1"/>
  <c r="I38" i="1"/>
  <c r="D28" i="1"/>
  <c r="E28" i="1"/>
  <c r="F28" i="1"/>
  <c r="G28" i="1"/>
  <c r="H28" i="1"/>
  <c r="I28" i="1"/>
  <c r="C48" i="1"/>
  <c r="P3" i="1" s="1" a="1"/>
  <c r="P3" i="1" s="1"/>
  <c r="C38" i="1"/>
  <c r="C28" i="1"/>
  <c r="N3" i="1" s="1" a="1"/>
  <c r="N3" i="1" s="1"/>
  <c r="D18" i="1"/>
  <c r="E18" i="1"/>
  <c r="F18" i="1"/>
  <c r="G18" i="1"/>
  <c r="H18" i="1"/>
  <c r="I18" i="1"/>
  <c r="C18" i="1"/>
  <c r="M3" i="1" s="1" a="1"/>
  <c r="M3" i="1" s="1"/>
  <c r="D8" i="1"/>
  <c r="E8" i="1"/>
  <c r="F8" i="1"/>
  <c r="G8" i="1"/>
  <c r="H8" i="1"/>
  <c r="I8" i="1"/>
  <c r="F69" i="1" l="1"/>
  <c r="E69" i="1"/>
  <c r="G69" i="1"/>
  <c r="C69" i="1"/>
  <c r="H69" i="1"/>
  <c r="D79" i="1"/>
  <c r="E79" i="1"/>
  <c r="E80" i="1" s="1"/>
  <c r="S3" i="1" a="1"/>
  <c r="S3" i="1" s="1"/>
  <c r="C79" i="1"/>
  <c r="I69" i="1"/>
  <c r="I70" i="1" s="1"/>
  <c r="R13" i="1" a="1"/>
  <c r="R13" i="1" s="1"/>
  <c r="H19" i="1"/>
  <c r="G80" i="1"/>
  <c r="I80" i="1"/>
  <c r="D80" i="1"/>
  <c r="D70" i="1"/>
  <c r="F80" i="1"/>
  <c r="H80" i="1"/>
  <c r="E70" i="1"/>
  <c r="F70" i="1"/>
  <c r="G70" i="1"/>
  <c r="I29" i="1"/>
  <c r="I30" i="1" s="1"/>
  <c r="H70" i="1"/>
  <c r="G59" i="1"/>
  <c r="G60" i="1" s="1"/>
  <c r="H49" i="1"/>
  <c r="H50" i="1" s="1"/>
  <c r="I59" i="1"/>
  <c r="I60" i="1" s="1"/>
  <c r="D39" i="1"/>
  <c r="D40" i="1" s="1"/>
  <c r="D19" i="1"/>
  <c r="D20" i="1" s="1"/>
  <c r="H59" i="1"/>
  <c r="H60" i="1" s="1"/>
  <c r="E39" i="1"/>
  <c r="E40" i="1" s="1"/>
  <c r="C19" i="1"/>
  <c r="I19" i="1"/>
  <c r="I20" i="1" s="1"/>
  <c r="G49" i="1"/>
  <c r="G50" i="1" s="1"/>
  <c r="F49" i="1"/>
  <c r="F50" i="1" s="1"/>
  <c r="E49" i="1"/>
  <c r="E50" i="1" s="1"/>
  <c r="G19" i="1"/>
  <c r="G20" i="1" s="1"/>
  <c r="F19" i="1"/>
  <c r="F20" i="1" s="1"/>
  <c r="D49" i="1"/>
  <c r="D50" i="1" s="1"/>
  <c r="F39" i="1"/>
  <c r="F40" i="1" s="1"/>
  <c r="E19" i="1"/>
  <c r="E20" i="1" s="1"/>
  <c r="F59" i="1"/>
  <c r="F60" i="1" s="1"/>
  <c r="D59" i="1"/>
  <c r="D60" i="1" s="1"/>
  <c r="C29" i="1"/>
  <c r="H29" i="1"/>
  <c r="H30" i="1" s="1"/>
  <c r="G29" i="1"/>
  <c r="G30" i="1" s="1"/>
  <c r="F29" i="1"/>
  <c r="F30" i="1" s="1"/>
  <c r="E29" i="1"/>
  <c r="E30" i="1" s="1"/>
  <c r="D29" i="1"/>
  <c r="D30" i="1" s="1"/>
  <c r="E59" i="1"/>
  <c r="E60" i="1" s="1"/>
  <c r="C59" i="1"/>
  <c r="C49" i="1"/>
  <c r="I49" i="1"/>
  <c r="I50" i="1" s="1"/>
  <c r="C39" i="1"/>
  <c r="H39" i="1"/>
  <c r="H40" i="1" s="1"/>
  <c r="G39" i="1"/>
  <c r="G40" i="1" s="1"/>
  <c r="I39" i="1"/>
  <c r="I40" i="1" s="1"/>
  <c r="I9" i="1"/>
  <c r="I10" i="1" s="1"/>
  <c r="F9" i="1"/>
  <c r="F10" i="1" s="1"/>
  <c r="E9" i="1"/>
  <c r="E10" i="1" s="1"/>
  <c r="H20" i="1"/>
  <c r="C9" i="1"/>
  <c r="H9" i="1"/>
  <c r="H10" i="1" s="1"/>
  <c r="G9" i="1"/>
  <c r="G10" i="1" s="1"/>
  <c r="D9" i="1"/>
  <c r="D10" i="1" s="1"/>
  <c r="Q13" i="1" l="1" a="1"/>
  <c r="Q13" i="1" s="1"/>
  <c r="C80" i="1"/>
  <c r="S13" i="1" a="1"/>
  <c r="S13" i="1" s="1"/>
  <c r="C70" i="1"/>
  <c r="R23" i="1" s="1" a="1"/>
  <c r="R23" i="1" s="1"/>
  <c r="S23" i="1" a="1"/>
  <c r="S23" i="1" s="1"/>
  <c r="C50" i="1"/>
  <c r="P23" i="1" s="1" a="1"/>
  <c r="P23" i="1" s="1"/>
  <c r="P13" i="1" a="1"/>
  <c r="P13" i="1" s="1"/>
  <c r="C60" i="1"/>
  <c r="Q23" i="1" s="1" a="1"/>
  <c r="Q23" i="1" s="1"/>
  <c r="C40" i="1"/>
  <c r="O23" i="1" s="1" a="1"/>
  <c r="O23" i="1" s="1"/>
  <c r="O13" i="1" a="1"/>
  <c r="O13" i="1" s="1"/>
  <c r="C30" i="1"/>
  <c r="N23" i="1" s="1" a="1"/>
  <c r="N23" i="1" s="1"/>
  <c r="N13" i="1" a="1"/>
  <c r="N13" i="1" s="1"/>
  <c r="C20" i="1"/>
  <c r="M23" i="1" s="1" a="1"/>
  <c r="M23" i="1" s="1"/>
  <c r="M13" i="1" a="1"/>
  <c r="M13" i="1" s="1"/>
  <c r="C10" i="1"/>
  <c r="L23" i="1" s="1" a="1"/>
  <c r="L23" i="1" s="1"/>
  <c r="L13" i="1" a="1"/>
  <c r="L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<sst xmlns="http://schemas.openxmlformats.org/spreadsheetml/2006/main" count="24" uniqueCount="3">
  <si>
    <t>平均运行时间</t>
    <phoneticPr fontId="2" type="noConversion"/>
  </si>
  <si>
    <t>加速比</t>
    <phoneticPr fontId="2" type="noConversion"/>
  </si>
  <si>
    <t>效率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</si>
</sst>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0000_);[Red]\(0.00000\)"/>
    <numFmt numFmtId="178" formatCode="0.0000_);[Red]\(0.0000\)"/>
  </numFmts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b/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9" fontId="4" fillId="0" borderId="1" xfId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11" fontId="4" fillId="0" borderId="0" xfId="0" applyNumberFormat="1" applyFont="1" applyAlignment="1">
      <alignment horizontal="center" vertical="center"/>
    </xf>
    <xf numFmtId="10" fontId="4" fillId="0" borderId="1" xfId="1" applyNumberFormat="1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41461-63FF-4F13-B128-153599EB9261}">
  <dimension ref="B1:S80"/>
  <sheetViews>
    <sheetView tabSelected="1" zoomScale="115" zoomScaleNormal="115" workbookViewId="0">
      <selection activeCell="O25" sqref="O25"/>
    </sheetView>
  </sheetViews>
  <sheetFormatPr defaultColWidth="8.875" defaultRowHeight="14.25" x14ac:dyDescent="0.2"/>
  <cols>
    <col min="2" max="2" width="14.375" customWidth="1"/>
    <col min="3" max="3" width="10" bestFit="1" customWidth="1"/>
    <col min="4" max="6" width="9.5" bestFit="1" customWidth="1"/>
    <col min="7" max="7" width="10.5" bestFit="1" customWidth="1"/>
    <col min="8" max="9" width="9.5" bestFit="1" customWidth="1"/>
    <col min="12" max="12" width="10" bestFit="1" customWidth="1"/>
    <col min="13" max="19" width="9.25" bestFit="1" customWidth="1"/>
  </cols>
  <sheetData>
    <row r="1" spans="2:19" ht="15" thickBot="1" x14ac:dyDescent="0.25"/>
    <row r="2" spans="2:19" ht="15" thickBot="1" x14ac:dyDescent="0.25">
      <c r="B2" s="11">
        <v>1000000</v>
      </c>
      <c r="C2" s="1">
        <v>1</v>
      </c>
      <c r="D2" s="1">
        <v>2</v>
      </c>
      <c r="E2" s="1">
        <v>4</v>
      </c>
      <c r="F2" s="1">
        <v>8</v>
      </c>
      <c r="G2" s="1">
        <v>16</v>
      </c>
      <c r="H2" s="1">
        <v>32</v>
      </c>
      <c r="I2" s="1">
        <v>64</v>
      </c>
      <c r="L2" s="11">
        <f>B$2</f>
        <v>1000000</v>
      </c>
      <c r="M2" s="11">
        <f>B$12</f>
        <v>2000000</v>
      </c>
      <c r="N2" s="11">
        <f>B$22</f>
        <v>3000000</v>
      </c>
      <c r="O2" s="11">
        <f>B$32</f>
        <v>4000000</v>
      </c>
      <c r="P2" s="11">
        <f>B$42</f>
        <v>5000000</v>
      </c>
      <c r="Q2" s="11">
        <f>B$52</f>
        <v>6000000</v>
      </c>
      <c r="R2" s="11">
        <f>B$62</f>
        <v>7000000</v>
      </c>
      <c r="S2" s="11">
        <f>B$72</f>
        <v>8000000</v>
      </c>
    </row>
    <row r="3" spans="2:19" ht="15" thickBot="1" x14ac:dyDescent="0.25">
      <c r="C3" s="3">
        <v>0.15914700000000001</v>
      </c>
      <c r="D3" s="4">
        <v>7.1348999999999996E-2</v>
      </c>
      <c r="E3" s="4">
        <v>4.21944E-2</v>
      </c>
      <c r="F3" s="4">
        <v>2.8399500000000001E-2</v>
      </c>
      <c r="G3" s="4">
        <v>2.32594E-2</v>
      </c>
      <c r="H3" s="4">
        <v>2.04475E-2</v>
      </c>
      <c r="I3" s="4">
        <v>2.581E-2</v>
      </c>
      <c r="K3" s="1">
        <v>1</v>
      </c>
      <c r="L3" s="10" cm="1">
        <f t="array" ref="L3:L9">TRANSPOSE(C8:I8)</f>
        <v>0.15831480000000001</v>
      </c>
      <c r="M3" s="10" cm="1">
        <f t="array" ref="M3:M9">TRANSPOSE(C18:I18)</f>
        <v>0.43296180000000001</v>
      </c>
      <c r="N3" s="10" cm="1">
        <f t="array" ref="N3:N9">TRANSPOSE(C28:I28)</f>
        <v>0.7792232</v>
      </c>
      <c r="O3" s="10" cm="1">
        <f t="array" ref="O3:O9">TRANSPOSE(C38:I38)</f>
        <v>1.1081974000000001</v>
      </c>
      <c r="P3" s="10" cm="1">
        <f t="array" ref="P3:P9">TRANSPOSE(C48:I48)</f>
        <v>1.3281019999999999</v>
      </c>
      <c r="Q3" s="10" cm="1">
        <f t="array" ref="Q3:Q9">TRANSPOSE(C58:I58)</f>
        <v>1.7566099999999998</v>
      </c>
      <c r="R3" s="10" cm="1">
        <f t="array" ref="R3:R9">TRANSPOSE(C68:I68)</f>
        <v>1.9393160000000003</v>
      </c>
      <c r="S3" s="10" cm="1">
        <f t="array" ref="S3:S9">TRANSPOSE(C78:I78)</f>
        <v>2.5759119999999998</v>
      </c>
    </row>
    <row r="4" spans="2:19" ht="15" thickBot="1" x14ac:dyDescent="0.25">
      <c r="C4" s="3">
        <v>0.156748</v>
      </c>
      <c r="D4" s="4">
        <v>7.1515999999999996E-2</v>
      </c>
      <c r="E4" s="4">
        <v>4.26869E-2</v>
      </c>
      <c r="F4" s="4">
        <v>2.84944E-2</v>
      </c>
      <c r="G4" s="4">
        <v>2.2210899999999999E-2</v>
      </c>
      <c r="H4" s="4">
        <v>2.05048E-2</v>
      </c>
      <c r="I4" s="4">
        <v>2.51697E-2</v>
      </c>
      <c r="K4" s="1">
        <v>2</v>
      </c>
      <c r="L4" s="10">
        <v>7.0518859999999989E-2</v>
      </c>
      <c r="M4" s="10">
        <v>0.1907816</v>
      </c>
      <c r="N4" s="10">
        <v>0.35347260000000003</v>
      </c>
      <c r="O4" s="10">
        <v>0.54253779999999996</v>
      </c>
      <c r="P4" s="10">
        <v>0.69066659999999991</v>
      </c>
      <c r="Q4" s="10">
        <v>0.9751436</v>
      </c>
      <c r="R4" s="10">
        <v>1.0977184</v>
      </c>
      <c r="S4" s="10">
        <v>1.3222660000000002</v>
      </c>
    </row>
    <row r="5" spans="2:19" ht="15" thickBot="1" x14ac:dyDescent="0.25">
      <c r="C5" s="3">
        <v>0.15806000000000001</v>
      </c>
      <c r="D5" s="4">
        <v>7.1831599999999995E-2</v>
      </c>
      <c r="E5" s="4">
        <v>4.2782300000000002E-2</v>
      </c>
      <c r="F5" s="4">
        <v>2.8566899999999999E-2</v>
      </c>
      <c r="G5" s="4">
        <v>2.3253699999999999E-2</v>
      </c>
      <c r="H5" s="4">
        <v>2.0513400000000001E-2</v>
      </c>
      <c r="I5" s="4">
        <v>2.7780800000000001E-2</v>
      </c>
      <c r="K5" s="1">
        <v>4</v>
      </c>
      <c r="L5" s="10">
        <v>4.264138E-2</v>
      </c>
      <c r="M5" s="10">
        <v>9.1813660000000005E-2</v>
      </c>
      <c r="N5" s="10">
        <v>0.149308</v>
      </c>
      <c r="O5" s="10">
        <v>0.21670439999999996</v>
      </c>
      <c r="P5" s="10">
        <v>0.34679119999999997</v>
      </c>
      <c r="Q5" s="10">
        <v>0.45398759999999994</v>
      </c>
      <c r="R5" s="10">
        <v>0.52909139999999999</v>
      </c>
      <c r="S5" s="10">
        <v>0.67364760000000001</v>
      </c>
    </row>
    <row r="6" spans="2:19" ht="15" thickBot="1" x14ac:dyDescent="0.25">
      <c r="C6" s="3">
        <v>0.15933800000000001</v>
      </c>
      <c r="D6" s="4">
        <v>7.6718499999999995E-2</v>
      </c>
      <c r="E6" s="4">
        <v>4.27383E-2</v>
      </c>
      <c r="F6" s="4">
        <v>2.6993699999999999E-2</v>
      </c>
      <c r="G6" s="4">
        <v>2.2881800000000001E-2</v>
      </c>
      <c r="H6" s="4">
        <v>2.0851000000000001E-2</v>
      </c>
      <c r="I6" s="4">
        <v>2.6929600000000001E-2</v>
      </c>
      <c r="K6" s="1">
        <v>8</v>
      </c>
      <c r="L6" s="10">
        <v>2.7852159999999997E-2</v>
      </c>
      <c r="M6" s="10">
        <v>5.6084800000000004E-2</v>
      </c>
      <c r="N6" s="10">
        <v>8.4047739999999996E-2</v>
      </c>
      <c r="O6" s="10">
        <v>0.12212960000000002</v>
      </c>
      <c r="P6" s="10">
        <v>0.16098099999999999</v>
      </c>
      <c r="Q6" s="10">
        <v>0.20686879999999999</v>
      </c>
      <c r="R6" s="10">
        <v>0.24526240000000002</v>
      </c>
      <c r="S6" s="10">
        <v>0.28378360000000002</v>
      </c>
    </row>
    <row r="7" spans="2:19" ht="15" thickBot="1" x14ac:dyDescent="0.25">
      <c r="C7" s="3">
        <v>0.15828100000000001</v>
      </c>
      <c r="D7" s="4">
        <v>6.1179200000000003E-2</v>
      </c>
      <c r="E7" s="4">
        <v>4.2805000000000003E-2</v>
      </c>
      <c r="F7" s="4">
        <v>2.6806300000000002E-2</v>
      </c>
      <c r="G7" s="4">
        <v>2.12648E-2</v>
      </c>
      <c r="H7" s="4">
        <v>2.0868100000000001E-2</v>
      </c>
      <c r="I7" s="4">
        <v>2.5125000000000001E-2</v>
      </c>
      <c r="K7" s="1">
        <v>16</v>
      </c>
      <c r="L7" s="10">
        <v>2.2574119999999996E-2</v>
      </c>
      <c r="M7" s="10">
        <v>4.5518379999999997E-2</v>
      </c>
      <c r="N7" s="10">
        <v>6.4705640000000009E-2</v>
      </c>
      <c r="O7" s="10">
        <v>8.6156159999999996E-2</v>
      </c>
      <c r="P7" s="10">
        <v>0.11209880000000001</v>
      </c>
      <c r="Q7" s="10">
        <v>0.13126699999999999</v>
      </c>
      <c r="R7" s="10">
        <v>0.16064340000000002</v>
      </c>
      <c r="S7" s="10">
        <v>0.1791922</v>
      </c>
    </row>
    <row r="8" spans="2:19" ht="15" thickBot="1" x14ac:dyDescent="0.25">
      <c r="B8" s="6" t="s">
        <v>0</v>
      </c>
      <c r="C8" s="9">
        <f>AVERAGE(C3:C7)</f>
        <v>0.15831480000000001</v>
      </c>
      <c r="D8" s="9">
        <f t="shared" ref="D8:I8" si="0">AVERAGE(D3:D7)</f>
        <v>7.0518859999999989E-2</v>
      </c>
      <c r="E8" s="9">
        <f t="shared" si="0"/>
        <v>4.264138E-2</v>
      </c>
      <c r="F8" s="9">
        <f t="shared" si="0"/>
        <v>2.7852159999999997E-2</v>
      </c>
      <c r="G8" s="9">
        <f t="shared" si="0"/>
        <v>2.2574119999999996E-2</v>
      </c>
      <c r="H8" s="9">
        <f t="shared" si="0"/>
        <v>2.0636959999999999E-2</v>
      </c>
      <c r="I8" s="9">
        <f t="shared" si="0"/>
        <v>2.6163020000000002E-2</v>
      </c>
      <c r="K8" s="1">
        <v>32</v>
      </c>
      <c r="L8" s="10">
        <v>2.0636959999999999E-2</v>
      </c>
      <c r="M8" s="10">
        <v>4.4269819999999994E-2</v>
      </c>
      <c r="N8" s="10">
        <v>6.2318600000000002E-2</v>
      </c>
      <c r="O8" s="10">
        <v>8.3378480000000005E-2</v>
      </c>
      <c r="P8" s="10">
        <v>0.10229586000000002</v>
      </c>
      <c r="Q8" s="10">
        <v>0.1230348</v>
      </c>
      <c r="R8" s="10">
        <v>0.14377800000000002</v>
      </c>
      <c r="S8" s="10">
        <v>0.15941840000000002</v>
      </c>
    </row>
    <row r="9" spans="2:19" ht="15" thickBot="1" x14ac:dyDescent="0.25">
      <c r="B9" s="6" t="s">
        <v>1</v>
      </c>
      <c r="C9" s="7">
        <f>$C$8/C8</f>
        <v>1</v>
      </c>
      <c r="D9" s="7">
        <f t="shared" ref="D9:I9" si="1">$C$8/D8</f>
        <v>2.2449994228494341</v>
      </c>
      <c r="E9" s="7">
        <f t="shared" si="1"/>
        <v>3.7127034819229587</v>
      </c>
      <c r="F9" s="7">
        <f t="shared" si="1"/>
        <v>5.6841121119511024</v>
      </c>
      <c r="G9" s="7">
        <f t="shared" si="1"/>
        <v>7.0131105885855147</v>
      </c>
      <c r="H9" s="7">
        <f t="shared" si="1"/>
        <v>7.6714205968320917</v>
      </c>
      <c r="I9" s="7">
        <f t="shared" si="1"/>
        <v>6.0510904322207448</v>
      </c>
      <c r="K9" s="1">
        <v>64</v>
      </c>
      <c r="L9" s="10">
        <v>2.6163020000000002E-2</v>
      </c>
      <c r="M9" s="10">
        <v>4.3047820000000001E-2</v>
      </c>
      <c r="N9" s="10">
        <v>6.1174180000000002E-2</v>
      </c>
      <c r="O9" s="10">
        <v>8.2746620000000007E-2</v>
      </c>
      <c r="P9" s="10">
        <v>0.10026986</v>
      </c>
      <c r="Q9" s="10">
        <v>0.1207908</v>
      </c>
      <c r="R9" s="10">
        <v>0.1415216</v>
      </c>
      <c r="S9" s="10">
        <v>0.1666396</v>
      </c>
    </row>
    <row r="10" spans="2:19" ht="15" thickBot="1" x14ac:dyDescent="0.25">
      <c r="B10" s="6" t="s">
        <v>2</v>
      </c>
      <c r="C10" s="8">
        <f>C9/C2</f>
        <v>1</v>
      </c>
      <c r="D10" s="8">
        <f t="shared" ref="D10:I10" si="2">D9/D2</f>
        <v>1.1224997114247171</v>
      </c>
      <c r="E10" s="8">
        <f t="shared" si="2"/>
        <v>0.92817587048073968</v>
      </c>
      <c r="F10" s="8">
        <f t="shared" si="2"/>
        <v>0.71051401399388781</v>
      </c>
      <c r="G10" s="8">
        <f t="shared" si="2"/>
        <v>0.43831941178659467</v>
      </c>
      <c r="H10" s="8">
        <f t="shared" si="2"/>
        <v>0.23973189365100286</v>
      </c>
      <c r="I10" s="8">
        <f t="shared" si="2"/>
        <v>9.4548288003449138E-2</v>
      </c>
    </row>
    <row r="11" spans="2:19" ht="15" thickBot="1" x14ac:dyDescent="0.25"/>
    <row r="12" spans="2:19" ht="15" thickBot="1" x14ac:dyDescent="0.25">
      <c r="B12" s="11">
        <v>2000000</v>
      </c>
      <c r="C12" s="1">
        <v>1</v>
      </c>
      <c r="D12" s="1">
        <v>2</v>
      </c>
      <c r="E12" s="1">
        <v>4</v>
      </c>
      <c r="F12" s="1">
        <v>8</v>
      </c>
      <c r="G12" s="1">
        <v>16</v>
      </c>
      <c r="H12" s="1">
        <v>32</v>
      </c>
      <c r="I12" s="1">
        <v>64</v>
      </c>
      <c r="L12" s="11">
        <f>B$2</f>
        <v>1000000</v>
      </c>
      <c r="M12" s="11">
        <f>B$12</f>
        <v>2000000</v>
      </c>
      <c r="N12" s="11">
        <f>B$22</f>
        <v>3000000</v>
      </c>
      <c r="O12" s="11">
        <f>B$32</f>
        <v>4000000</v>
      </c>
      <c r="P12" s="11">
        <f>B$42</f>
        <v>5000000</v>
      </c>
      <c r="Q12" s="11">
        <f>B$52</f>
        <v>6000000</v>
      </c>
      <c r="R12" s="11">
        <f>B$62</f>
        <v>7000000</v>
      </c>
      <c r="S12" s="11">
        <f>B$72</f>
        <v>8000000</v>
      </c>
    </row>
    <row r="13" spans="2:19" ht="15" thickBot="1" x14ac:dyDescent="0.25">
      <c r="C13" s="3">
        <v>0.45215699999999998</v>
      </c>
      <c r="D13" s="4">
        <v>0.19105900000000001</v>
      </c>
      <c r="E13" s="4">
        <v>9.1551800000000003E-2</v>
      </c>
      <c r="F13" s="4">
        <v>5.8121800000000001E-2</v>
      </c>
      <c r="G13" s="4">
        <v>4.4263200000000003E-2</v>
      </c>
      <c r="H13" s="4">
        <v>4.4774399999999999E-2</v>
      </c>
      <c r="I13" s="4">
        <v>4.3000700000000003E-2</v>
      </c>
      <c r="K13" s="1">
        <v>1</v>
      </c>
      <c r="L13" s="7" cm="1">
        <f t="array" ref="L13:L19">TRANSPOSE(C9:I9)</f>
        <v>1</v>
      </c>
      <c r="M13" s="7" cm="1">
        <f t="array" ref="M13:M19">TRANSPOSE(C19:I19)</f>
        <v>1</v>
      </c>
      <c r="N13" s="7" cm="1">
        <f t="array" ref="N13:N19">TRANSPOSE(C29:I29)</f>
        <v>1</v>
      </c>
      <c r="O13" s="7" cm="1">
        <f t="array" ref="O13:O19">TRANSPOSE(C39:I39)</f>
        <v>1</v>
      </c>
      <c r="P13" s="7" cm="1">
        <f t="array" ref="P13:P19">TRANSPOSE(C49:I49)</f>
        <v>1</v>
      </c>
      <c r="Q13" s="7" cm="1">
        <f t="array" ref="Q13:Q19">TRANSPOSE(C59:I59)</f>
        <v>1</v>
      </c>
      <c r="R13" s="7" cm="1">
        <f t="array" ref="R13:R19">TRANSPOSE(C69:I69)</f>
        <v>1</v>
      </c>
      <c r="S13" s="7" cm="1">
        <f t="array" ref="S13:S19">TRANSPOSE(C79:I79)</f>
        <v>1</v>
      </c>
    </row>
    <row r="14" spans="2:19" ht="15" thickBot="1" x14ac:dyDescent="0.25">
      <c r="C14" s="3">
        <v>0.39608199999999999</v>
      </c>
      <c r="D14" s="4">
        <v>0.19137699999999999</v>
      </c>
      <c r="E14" s="4">
        <v>9.4831499999999999E-2</v>
      </c>
      <c r="F14" s="4">
        <v>5.9252100000000002E-2</v>
      </c>
      <c r="G14" s="4">
        <v>5.0148699999999997E-2</v>
      </c>
      <c r="H14" s="4">
        <v>4.2147400000000002E-2</v>
      </c>
      <c r="I14" s="4">
        <v>4.35976E-2</v>
      </c>
      <c r="K14" s="1">
        <v>2</v>
      </c>
      <c r="L14" s="7">
        <v>2.2449994228494341</v>
      </c>
      <c r="M14" s="7">
        <v>2.2694106769206255</v>
      </c>
      <c r="N14" s="7">
        <v>2.2044797814597228</v>
      </c>
      <c r="O14" s="7">
        <v>2.0426178599905853</v>
      </c>
      <c r="P14" s="7">
        <v>1.9229277917883969</v>
      </c>
      <c r="Q14" s="7">
        <v>1.8013859702304356</v>
      </c>
      <c r="R14" s="7">
        <v>1.7666789588295142</v>
      </c>
      <c r="S14" s="7">
        <v>1.948104239237793</v>
      </c>
    </row>
    <row r="15" spans="2:19" ht="15" thickBot="1" x14ac:dyDescent="0.25">
      <c r="C15" s="3">
        <v>0.43995000000000001</v>
      </c>
      <c r="D15" s="4">
        <v>0.190216</v>
      </c>
      <c r="E15" s="4">
        <v>9.4668299999999997E-2</v>
      </c>
      <c r="F15" s="4">
        <v>5.75863E-2</v>
      </c>
      <c r="G15" s="4">
        <v>4.4478200000000002E-2</v>
      </c>
      <c r="H15" s="4">
        <v>4.6120000000000001E-2</v>
      </c>
      <c r="I15" s="4">
        <v>4.4562400000000002E-2</v>
      </c>
      <c r="K15" s="1">
        <v>4</v>
      </c>
      <c r="L15" s="7">
        <v>3.7127034819229587</v>
      </c>
      <c r="M15" s="7">
        <v>4.7156577790276524</v>
      </c>
      <c r="N15" s="7">
        <v>5.2188978487421975</v>
      </c>
      <c r="O15" s="7">
        <v>5.1138666312266858</v>
      </c>
      <c r="P15" s="7">
        <v>3.829687719872938</v>
      </c>
      <c r="Q15" s="7">
        <v>3.8692907030940935</v>
      </c>
      <c r="R15" s="7">
        <v>3.6653704823023023</v>
      </c>
      <c r="S15" s="7">
        <v>3.8238271761081011</v>
      </c>
    </row>
    <row r="16" spans="2:19" ht="15" thickBot="1" x14ac:dyDescent="0.25">
      <c r="C16" s="3">
        <v>0.43435699999999999</v>
      </c>
      <c r="D16" s="4">
        <v>0.189883</v>
      </c>
      <c r="E16" s="4">
        <v>9.5355200000000001E-2</v>
      </c>
      <c r="F16" s="4">
        <v>5.7809100000000002E-2</v>
      </c>
      <c r="G16" s="4">
        <v>4.4837000000000002E-2</v>
      </c>
      <c r="H16" s="4">
        <v>4.21558E-2</v>
      </c>
      <c r="I16" s="4">
        <v>4.5061499999999997E-2</v>
      </c>
      <c r="K16" s="1">
        <v>8</v>
      </c>
      <c r="L16" s="7">
        <v>5.6841121119511024</v>
      </c>
      <c r="M16" s="7">
        <v>7.7197707756825373</v>
      </c>
      <c r="N16" s="7">
        <v>9.2711975360670031</v>
      </c>
      <c r="O16" s="7">
        <v>9.0739460376518046</v>
      </c>
      <c r="P16" s="7">
        <v>8.2500543542405627</v>
      </c>
      <c r="Q16" s="7">
        <v>8.4914206492230822</v>
      </c>
      <c r="R16" s="7">
        <v>7.9071068374116873</v>
      </c>
      <c r="S16" s="7">
        <v>9.0770291165521879</v>
      </c>
    </row>
    <row r="17" spans="2:19" ht="15" thickBot="1" x14ac:dyDescent="0.25">
      <c r="C17" s="3">
        <v>0.44226300000000002</v>
      </c>
      <c r="D17" s="4">
        <v>0.19137299999999999</v>
      </c>
      <c r="E17" s="4">
        <v>8.2661499999999999E-2</v>
      </c>
      <c r="F17" s="4">
        <v>4.7654700000000001E-2</v>
      </c>
      <c r="G17" s="4">
        <v>4.3864800000000002E-2</v>
      </c>
      <c r="H17" s="4">
        <v>4.6151499999999998E-2</v>
      </c>
      <c r="I17" s="4">
        <v>3.90169E-2</v>
      </c>
      <c r="K17" s="1">
        <v>16</v>
      </c>
      <c r="L17" s="7">
        <v>7.0131105885855147</v>
      </c>
      <c r="M17" s="7">
        <v>9.5118016062961832</v>
      </c>
      <c r="N17" s="7">
        <v>12.042585468592845</v>
      </c>
      <c r="O17" s="7">
        <v>12.862660081414958</v>
      </c>
      <c r="P17" s="7">
        <v>11.847602293690921</v>
      </c>
      <c r="Q17" s="7">
        <v>13.38196195540387</v>
      </c>
      <c r="R17" s="7">
        <v>12.072179747191607</v>
      </c>
      <c r="S17" s="7">
        <v>14.375134631976168</v>
      </c>
    </row>
    <row r="18" spans="2:19" ht="15" thickBot="1" x14ac:dyDescent="0.25">
      <c r="B18" s="6" t="s">
        <v>0</v>
      </c>
      <c r="C18" s="3">
        <f>AVERAGE(C13:C17)</f>
        <v>0.43296180000000001</v>
      </c>
      <c r="D18" s="3">
        <f t="shared" ref="D18:I18" si="3">AVERAGE(D13:D17)</f>
        <v>0.1907816</v>
      </c>
      <c r="E18" s="3">
        <f t="shared" si="3"/>
        <v>9.1813660000000005E-2</v>
      </c>
      <c r="F18" s="3">
        <f t="shared" si="3"/>
        <v>5.6084800000000004E-2</v>
      </c>
      <c r="G18" s="3">
        <f t="shared" si="3"/>
        <v>4.5518379999999997E-2</v>
      </c>
      <c r="H18" s="3">
        <f t="shared" si="3"/>
        <v>4.4269819999999994E-2</v>
      </c>
      <c r="I18" s="3">
        <f t="shared" si="3"/>
        <v>4.3047820000000001E-2</v>
      </c>
      <c r="K18" s="1">
        <v>32</v>
      </c>
      <c r="L18" s="7">
        <v>7.6714205968320917</v>
      </c>
      <c r="M18" s="7">
        <v>9.7800668717424202</v>
      </c>
      <c r="N18" s="7">
        <v>12.503862410259536</v>
      </c>
      <c r="O18" s="7">
        <v>13.291168176728576</v>
      </c>
      <c r="P18" s="7">
        <v>12.982949652116906</v>
      </c>
      <c r="Q18" s="7">
        <v>14.277342670528986</v>
      </c>
      <c r="R18" s="7">
        <v>13.488266633281865</v>
      </c>
      <c r="S18" s="7">
        <v>16.158185002484025</v>
      </c>
    </row>
    <row r="19" spans="2:19" ht="15" thickBot="1" x14ac:dyDescent="0.25">
      <c r="B19" s="6" t="s">
        <v>1</v>
      </c>
      <c r="C19" s="7">
        <f>$C$18/C18</f>
        <v>1</v>
      </c>
      <c r="D19" s="7">
        <f t="shared" ref="D19:I19" si="4">$C$18/D18</f>
        <v>2.2694106769206255</v>
      </c>
      <c r="E19" s="7">
        <f t="shared" si="4"/>
        <v>4.7156577790276524</v>
      </c>
      <c r="F19" s="7">
        <f t="shared" si="4"/>
        <v>7.7197707756825373</v>
      </c>
      <c r="G19" s="7">
        <f t="shared" si="4"/>
        <v>9.5118016062961832</v>
      </c>
      <c r="H19" s="7">
        <f t="shared" si="4"/>
        <v>9.7800668717424202</v>
      </c>
      <c r="I19" s="7">
        <f t="shared" si="4"/>
        <v>10.05769397846395</v>
      </c>
      <c r="K19" s="1">
        <v>64</v>
      </c>
      <c r="L19" s="7">
        <v>6.0510904322207448</v>
      </c>
      <c r="M19" s="7">
        <v>10.05769397846395</v>
      </c>
      <c r="N19" s="7">
        <v>12.737779239541911</v>
      </c>
      <c r="O19" s="7">
        <v>13.392660630730294</v>
      </c>
      <c r="P19" s="7">
        <v>13.245276297383878</v>
      </c>
      <c r="Q19" s="7">
        <v>14.542581057497754</v>
      </c>
      <c r="R19" s="7">
        <v>13.703321613096518</v>
      </c>
      <c r="S19" s="7">
        <v>15.457982376337917</v>
      </c>
    </row>
    <row r="20" spans="2:19" ht="15" thickBot="1" x14ac:dyDescent="0.25">
      <c r="B20" s="6" t="s">
        <v>2</v>
      </c>
      <c r="C20" s="8">
        <f t="shared" ref="C20:I20" si="5">C19/C12</f>
        <v>1</v>
      </c>
      <c r="D20" s="8">
        <f t="shared" si="5"/>
        <v>1.1347053384603127</v>
      </c>
      <c r="E20" s="8">
        <f t="shared" si="5"/>
        <v>1.1789144447569131</v>
      </c>
      <c r="F20" s="8">
        <f t="shared" si="5"/>
        <v>0.96497134696031717</v>
      </c>
      <c r="G20" s="8">
        <f t="shared" si="5"/>
        <v>0.59448760039351145</v>
      </c>
      <c r="H20" s="8">
        <f t="shared" si="5"/>
        <v>0.30562708974195063</v>
      </c>
      <c r="I20" s="8">
        <f t="shared" si="5"/>
        <v>0.15715146841349922</v>
      </c>
    </row>
    <row r="21" spans="2:19" ht="15" thickBot="1" x14ac:dyDescent="0.25"/>
    <row r="22" spans="2:19" ht="15" thickBot="1" x14ac:dyDescent="0.25">
      <c r="B22" s="11">
        <v>3000000</v>
      </c>
      <c r="C22" s="1">
        <v>1</v>
      </c>
      <c r="D22" s="1">
        <v>2</v>
      </c>
      <c r="E22" s="1">
        <v>4</v>
      </c>
      <c r="F22" s="1">
        <v>8</v>
      </c>
      <c r="G22" s="1">
        <v>16</v>
      </c>
      <c r="H22" s="1">
        <v>32</v>
      </c>
      <c r="I22" s="1">
        <v>64</v>
      </c>
      <c r="L22" s="11">
        <f>B$2</f>
        <v>1000000</v>
      </c>
      <c r="M22" s="11">
        <f>B$12</f>
        <v>2000000</v>
      </c>
      <c r="N22" s="11">
        <f>B$22</f>
        <v>3000000</v>
      </c>
      <c r="O22" s="11">
        <f>B$32</f>
        <v>4000000</v>
      </c>
      <c r="P22" s="11">
        <f>B$42</f>
        <v>5000000</v>
      </c>
      <c r="Q22" s="11">
        <f>B$52</f>
        <v>6000000</v>
      </c>
      <c r="R22" s="11">
        <f>B$62</f>
        <v>7000000</v>
      </c>
      <c r="S22" s="11">
        <f>B$72</f>
        <v>8000000</v>
      </c>
    </row>
    <row r="23" spans="2:19" ht="15" thickBot="1" x14ac:dyDescent="0.25">
      <c r="C23" s="1">
        <v>0.73667199999999999</v>
      </c>
      <c r="D23" s="2">
        <v>0.30839</v>
      </c>
      <c r="E23" s="2">
        <v>0.15934200000000001</v>
      </c>
      <c r="F23" s="2">
        <v>8.4441000000000002E-2</v>
      </c>
      <c r="G23" s="2">
        <v>6.5198500000000006E-2</v>
      </c>
      <c r="H23" s="2">
        <v>6.4277299999999996E-2</v>
      </c>
      <c r="I23" s="2">
        <v>6.2437399999999997E-2</v>
      </c>
      <c r="K23" s="1">
        <v>1</v>
      </c>
      <c r="L23" s="12" cm="1">
        <f t="array" ref="L23:L29">TRANSPOSE(C10:I10)</f>
        <v>1</v>
      </c>
      <c r="M23" s="12" cm="1">
        <f t="array" ref="M23:M29">TRANSPOSE(C20:I20)</f>
        <v>1</v>
      </c>
      <c r="N23" s="12" cm="1">
        <f t="array" ref="N23:N29">TRANSPOSE(C30:I30)</f>
        <v>1</v>
      </c>
      <c r="O23" s="12" cm="1">
        <f t="array" ref="O23:O29">TRANSPOSE(C40:I40)</f>
        <v>1</v>
      </c>
      <c r="P23" s="12" cm="1">
        <f t="array" ref="P23:P29">TRANSPOSE(C50:I50)</f>
        <v>1</v>
      </c>
      <c r="Q23" s="12" cm="1">
        <f t="array" ref="Q23:Q29">TRANSPOSE(C60:I60)</f>
        <v>1</v>
      </c>
      <c r="R23" s="12" cm="1">
        <f t="array" ref="R23:R29">TRANSPOSE(C70:I70)</f>
        <v>1</v>
      </c>
      <c r="S23" s="12" cm="1">
        <f t="array" ref="S23:S29">TRANSPOSE(C80:I80)</f>
        <v>1</v>
      </c>
    </row>
    <row r="24" spans="2:19" ht="15" thickBot="1" x14ac:dyDescent="0.25">
      <c r="C24" s="1">
        <v>0.77681599999999995</v>
      </c>
      <c r="D24" s="2">
        <v>0.37013200000000002</v>
      </c>
      <c r="E24" s="2">
        <v>0.145928</v>
      </c>
      <c r="F24" s="2">
        <v>8.9130600000000004E-2</v>
      </c>
      <c r="G24" s="2">
        <v>6.4693799999999996E-2</v>
      </c>
      <c r="H24" s="2">
        <v>6.6479700000000003E-2</v>
      </c>
      <c r="I24" s="2">
        <v>5.8711399999999997E-2</v>
      </c>
      <c r="K24" s="1">
        <v>2</v>
      </c>
      <c r="L24" s="12">
        <v>1.1224997114247171</v>
      </c>
      <c r="M24" s="12">
        <v>1.1347053384603127</v>
      </c>
      <c r="N24" s="12">
        <v>1.1022398907298614</v>
      </c>
      <c r="O24" s="12">
        <v>1.0213089299952927</v>
      </c>
      <c r="P24" s="12">
        <v>0.96146389589419845</v>
      </c>
      <c r="Q24" s="12">
        <v>0.90069298511521778</v>
      </c>
      <c r="R24" s="12">
        <v>0.8833394794147571</v>
      </c>
      <c r="S24" s="12">
        <v>0.97405211961889648</v>
      </c>
    </row>
    <row r="25" spans="2:19" ht="15" thickBot="1" x14ac:dyDescent="0.25">
      <c r="C25" s="1">
        <v>0.79822099999999996</v>
      </c>
      <c r="D25" s="2">
        <v>0.36795899999999998</v>
      </c>
      <c r="E25" s="2">
        <v>0.15837499999999999</v>
      </c>
      <c r="F25" s="2">
        <v>8.6577000000000001E-2</v>
      </c>
      <c r="G25" s="2">
        <v>6.4019400000000004E-2</v>
      </c>
      <c r="H25" s="2">
        <v>7.0039000000000004E-2</v>
      </c>
      <c r="I25" s="2">
        <v>6.4528699999999994E-2</v>
      </c>
      <c r="K25" s="1">
        <v>4</v>
      </c>
      <c r="L25" s="12">
        <v>0.92817587048073968</v>
      </c>
      <c r="M25" s="12">
        <v>1.1789144447569131</v>
      </c>
      <c r="N25" s="12">
        <v>1.3047244621855494</v>
      </c>
      <c r="O25" s="12">
        <v>1.2784666578066715</v>
      </c>
      <c r="P25" s="12">
        <v>0.9574219299682345</v>
      </c>
      <c r="Q25" s="12">
        <v>0.96732267577352338</v>
      </c>
      <c r="R25" s="12">
        <v>0.91634262057557558</v>
      </c>
      <c r="S25" s="12">
        <v>0.95595679402702527</v>
      </c>
    </row>
    <row r="26" spans="2:19" ht="15" thickBot="1" x14ac:dyDescent="0.25">
      <c r="C26" s="1">
        <v>0.80000700000000002</v>
      </c>
      <c r="D26" s="2">
        <v>0.36859900000000001</v>
      </c>
      <c r="E26" s="2">
        <v>0.137236</v>
      </c>
      <c r="F26" s="2">
        <v>8.82743E-2</v>
      </c>
      <c r="G26" s="2">
        <v>6.4592399999999994E-2</v>
      </c>
      <c r="H26" s="2">
        <v>5.5449400000000003E-2</v>
      </c>
      <c r="I26" s="2">
        <v>6.18767E-2</v>
      </c>
      <c r="K26" s="1">
        <v>8</v>
      </c>
      <c r="L26" s="12">
        <v>0.71051401399388781</v>
      </c>
      <c r="M26" s="12">
        <v>0.96497134696031717</v>
      </c>
      <c r="N26" s="12">
        <v>1.1588996920083754</v>
      </c>
      <c r="O26" s="12">
        <v>1.1342432547064756</v>
      </c>
      <c r="P26" s="12">
        <v>1.0312567942800703</v>
      </c>
      <c r="Q26" s="12">
        <v>1.0614275811528853</v>
      </c>
      <c r="R26" s="12">
        <v>0.98838835467646091</v>
      </c>
      <c r="S26" s="12">
        <v>1.1346286395690235</v>
      </c>
    </row>
    <row r="27" spans="2:19" ht="15" thickBot="1" x14ac:dyDescent="0.25">
      <c r="C27" s="1">
        <v>0.78439999999999999</v>
      </c>
      <c r="D27" s="2">
        <v>0.35228300000000001</v>
      </c>
      <c r="E27" s="2">
        <v>0.14565900000000001</v>
      </c>
      <c r="F27" s="2">
        <v>7.1815799999999999E-2</v>
      </c>
      <c r="G27" s="2">
        <v>6.5024100000000001E-2</v>
      </c>
      <c r="H27" s="2">
        <v>5.5347599999999997E-2</v>
      </c>
      <c r="I27" s="2">
        <v>5.8316699999999999E-2</v>
      </c>
      <c r="K27" s="1">
        <v>16</v>
      </c>
      <c r="L27" s="12">
        <v>0.43831941178659467</v>
      </c>
      <c r="M27" s="12">
        <v>0.59448760039351145</v>
      </c>
      <c r="N27" s="12">
        <v>0.75266159178705283</v>
      </c>
      <c r="O27" s="12">
        <v>0.80391625508843489</v>
      </c>
      <c r="P27" s="12">
        <v>0.74047514335568254</v>
      </c>
      <c r="Q27" s="12">
        <v>0.83637262221274189</v>
      </c>
      <c r="R27" s="12">
        <v>0.75451123419947541</v>
      </c>
      <c r="S27" s="12">
        <v>0.89844591449851052</v>
      </c>
    </row>
    <row r="28" spans="2:19" ht="15" thickBot="1" x14ac:dyDescent="0.25">
      <c r="B28" s="6" t="s">
        <v>0</v>
      </c>
      <c r="C28" s="3">
        <f>AVERAGE(C23:C27)</f>
        <v>0.7792232</v>
      </c>
      <c r="D28" s="3">
        <f t="shared" ref="D28:I28" si="6">AVERAGE(D23:D27)</f>
        <v>0.35347260000000003</v>
      </c>
      <c r="E28" s="3">
        <f t="shared" si="6"/>
        <v>0.149308</v>
      </c>
      <c r="F28" s="3">
        <f t="shared" si="6"/>
        <v>8.4047739999999996E-2</v>
      </c>
      <c r="G28" s="3">
        <f t="shared" si="6"/>
        <v>6.4705640000000009E-2</v>
      </c>
      <c r="H28" s="3">
        <f t="shared" si="6"/>
        <v>6.2318600000000002E-2</v>
      </c>
      <c r="I28" s="3">
        <f t="shared" si="6"/>
        <v>6.1174180000000002E-2</v>
      </c>
      <c r="K28" s="1">
        <v>32</v>
      </c>
      <c r="L28" s="12">
        <v>0.23973189365100286</v>
      </c>
      <c r="M28" s="12">
        <v>0.30562708974195063</v>
      </c>
      <c r="N28" s="12">
        <v>0.39074570032061051</v>
      </c>
      <c r="O28" s="12">
        <v>0.41534900552276799</v>
      </c>
      <c r="P28" s="12">
        <v>0.40571717662865331</v>
      </c>
      <c r="Q28" s="12">
        <v>0.44616695845403082</v>
      </c>
      <c r="R28" s="12">
        <v>0.4215083322900583</v>
      </c>
      <c r="S28" s="12">
        <v>0.50494328132762578</v>
      </c>
    </row>
    <row r="29" spans="2:19" ht="15" thickBot="1" x14ac:dyDescent="0.25">
      <c r="B29" s="6" t="s">
        <v>1</v>
      </c>
      <c r="C29" s="7">
        <f>$C$28/C28</f>
        <v>1</v>
      </c>
      <c r="D29" s="7">
        <f t="shared" ref="D29:H29" si="7">$C$28/D28</f>
        <v>2.2044797814597228</v>
      </c>
      <c r="E29" s="7">
        <f t="shared" si="7"/>
        <v>5.2188978487421975</v>
      </c>
      <c r="F29" s="7">
        <f t="shared" si="7"/>
        <v>9.2711975360670031</v>
      </c>
      <c r="G29" s="7">
        <f t="shared" si="7"/>
        <v>12.042585468592845</v>
      </c>
      <c r="H29" s="7">
        <f t="shared" si="7"/>
        <v>12.503862410259536</v>
      </c>
      <c r="I29" s="7">
        <f>$C$28/I28</f>
        <v>12.737779239541911</v>
      </c>
      <c r="K29" s="1">
        <v>64</v>
      </c>
      <c r="L29" s="12">
        <v>9.4548288003449138E-2</v>
      </c>
      <c r="M29" s="12">
        <v>0.15715146841349922</v>
      </c>
      <c r="N29" s="12">
        <v>0.19902780061784237</v>
      </c>
      <c r="O29" s="12">
        <v>0.20926032235516084</v>
      </c>
      <c r="P29" s="12">
        <v>0.20695744214662309</v>
      </c>
      <c r="Q29" s="12">
        <v>0.22722782902340241</v>
      </c>
      <c r="R29" s="12">
        <v>0.2141144002046331</v>
      </c>
      <c r="S29" s="12">
        <v>0.24153097463027995</v>
      </c>
    </row>
    <row r="30" spans="2:19" ht="15" thickBot="1" x14ac:dyDescent="0.25">
      <c r="B30" s="6" t="s">
        <v>2</v>
      </c>
      <c r="C30" s="8">
        <f>C29/C22</f>
        <v>1</v>
      </c>
      <c r="D30" s="8">
        <f t="shared" ref="D30" si="8">D29/D22</f>
        <v>1.1022398907298614</v>
      </c>
      <c r="E30" s="8">
        <f t="shared" ref="E30" si="9">E29/E22</f>
        <v>1.3047244621855494</v>
      </c>
      <c r="F30" s="8">
        <f t="shared" ref="F30" si="10">F29/F22</f>
        <v>1.1588996920083754</v>
      </c>
      <c r="G30" s="8">
        <f t="shared" ref="G30" si="11">G29/G22</f>
        <v>0.75266159178705283</v>
      </c>
      <c r="H30" s="8">
        <f t="shared" ref="H30" si="12">H29/H22</f>
        <v>0.39074570032061051</v>
      </c>
      <c r="I30" s="8">
        <f t="shared" ref="I30" si="13">I29/I22</f>
        <v>0.19902780061784237</v>
      </c>
      <c r="L30" s="5"/>
    </row>
    <row r="31" spans="2:19" ht="15" thickBot="1" x14ac:dyDescent="0.25"/>
    <row r="32" spans="2:19" ht="15" thickBot="1" x14ac:dyDescent="0.25">
      <c r="B32" s="11">
        <v>4000000</v>
      </c>
      <c r="C32" s="1">
        <v>1</v>
      </c>
      <c r="D32" s="1">
        <v>2</v>
      </c>
      <c r="E32" s="1">
        <v>4</v>
      </c>
      <c r="F32" s="1">
        <v>8</v>
      </c>
      <c r="G32" s="1">
        <v>16</v>
      </c>
      <c r="H32" s="1">
        <v>32</v>
      </c>
      <c r="I32" s="1">
        <v>64</v>
      </c>
    </row>
    <row r="33" spans="2:9" ht="15" thickBot="1" x14ac:dyDescent="0.25">
      <c r="C33" s="1">
        <v>0.96985699999999997</v>
      </c>
      <c r="D33" s="2">
        <v>0.61668100000000003</v>
      </c>
      <c r="E33" s="2">
        <v>0.22531300000000001</v>
      </c>
      <c r="F33" s="2">
        <v>0.12206699999999999</v>
      </c>
      <c r="G33" s="2">
        <v>8.7250400000000006E-2</v>
      </c>
      <c r="H33" s="2">
        <v>8.6860099999999996E-2</v>
      </c>
      <c r="I33" s="2">
        <v>8.4847800000000001E-2</v>
      </c>
    </row>
    <row r="34" spans="2:9" ht="15" thickBot="1" x14ac:dyDescent="0.25">
      <c r="C34" s="1">
        <v>1.1099000000000001</v>
      </c>
      <c r="D34" s="2">
        <v>0.56801199999999996</v>
      </c>
      <c r="E34" s="2">
        <v>0.22589000000000001</v>
      </c>
      <c r="F34" s="2">
        <v>0.118848</v>
      </c>
      <c r="G34" s="2">
        <v>8.7317500000000006E-2</v>
      </c>
      <c r="H34" s="2">
        <v>8.5860099999999995E-2</v>
      </c>
      <c r="I34" s="2">
        <v>7.6470200000000002E-2</v>
      </c>
    </row>
    <row r="35" spans="2:9" ht="15" thickBot="1" x14ac:dyDescent="0.25">
      <c r="C35" s="1">
        <v>1.1337900000000001</v>
      </c>
      <c r="D35" s="2">
        <v>0.44230700000000001</v>
      </c>
      <c r="E35" s="2">
        <v>0.22401199999999999</v>
      </c>
      <c r="F35" s="2">
        <v>0.122283</v>
      </c>
      <c r="G35" s="2">
        <v>8.8107000000000005E-2</v>
      </c>
      <c r="H35" s="2">
        <v>8.4111599999999995E-2</v>
      </c>
      <c r="I35" s="2">
        <v>8.6994000000000002E-2</v>
      </c>
    </row>
    <row r="36" spans="2:9" ht="15" thickBot="1" x14ac:dyDescent="0.25">
      <c r="C36" s="1">
        <v>1.1764699999999999</v>
      </c>
      <c r="D36" s="2">
        <v>0.54449199999999998</v>
      </c>
      <c r="E36" s="2">
        <v>0.20998</v>
      </c>
      <c r="F36" s="2">
        <v>0.122144</v>
      </c>
      <c r="G36" s="2">
        <v>8.8334599999999999E-2</v>
      </c>
      <c r="H36" s="2">
        <v>8.0774499999999999E-2</v>
      </c>
      <c r="I36" s="2">
        <v>8.1715599999999999E-2</v>
      </c>
    </row>
    <row r="37" spans="2:9" ht="15" thickBot="1" x14ac:dyDescent="0.25">
      <c r="C37" s="1">
        <v>1.15097</v>
      </c>
      <c r="D37" s="2">
        <v>0.54119700000000004</v>
      </c>
      <c r="E37" s="2">
        <v>0.198327</v>
      </c>
      <c r="F37" s="2">
        <v>0.125306</v>
      </c>
      <c r="G37" s="2">
        <v>7.9771300000000003E-2</v>
      </c>
      <c r="H37" s="2">
        <v>7.9286099999999998E-2</v>
      </c>
      <c r="I37" s="2">
        <v>8.3705500000000002E-2</v>
      </c>
    </row>
    <row r="38" spans="2:9" ht="15" thickBot="1" x14ac:dyDescent="0.25">
      <c r="B38" s="6" t="s">
        <v>0</v>
      </c>
      <c r="C38" s="3">
        <f>AVERAGE(C33:C37)</f>
        <v>1.1081974000000001</v>
      </c>
      <c r="D38" s="3">
        <f t="shared" ref="D38:I38" si="14">AVERAGE(D33:D37)</f>
        <v>0.54253779999999996</v>
      </c>
      <c r="E38" s="3">
        <f t="shared" si="14"/>
        <v>0.21670439999999996</v>
      </c>
      <c r="F38" s="3">
        <f t="shared" si="14"/>
        <v>0.12212960000000002</v>
      </c>
      <c r="G38" s="3">
        <f t="shared" si="14"/>
        <v>8.6156159999999996E-2</v>
      </c>
      <c r="H38" s="3">
        <f t="shared" si="14"/>
        <v>8.3378480000000005E-2</v>
      </c>
      <c r="I38" s="3">
        <f t="shared" si="14"/>
        <v>8.2746620000000007E-2</v>
      </c>
    </row>
    <row r="39" spans="2:9" ht="15" thickBot="1" x14ac:dyDescent="0.25">
      <c r="B39" s="6" t="s">
        <v>1</v>
      </c>
      <c r="C39" s="7">
        <f>$C$38/C38</f>
        <v>1</v>
      </c>
      <c r="D39" s="7">
        <f t="shared" ref="D39:I39" si="15">$C$38/D38</f>
        <v>2.0426178599905853</v>
      </c>
      <c r="E39" s="7">
        <f t="shared" si="15"/>
        <v>5.1138666312266858</v>
      </c>
      <c r="F39" s="7">
        <f t="shared" si="15"/>
        <v>9.0739460376518046</v>
      </c>
      <c r="G39" s="7">
        <f t="shared" si="15"/>
        <v>12.862660081414958</v>
      </c>
      <c r="H39" s="7">
        <f t="shared" si="15"/>
        <v>13.291168176728576</v>
      </c>
      <c r="I39" s="7">
        <f t="shared" si="15"/>
        <v>13.392660630730294</v>
      </c>
    </row>
    <row r="40" spans="2:9" ht="15" thickBot="1" x14ac:dyDescent="0.25">
      <c r="B40" s="6" t="s">
        <v>2</v>
      </c>
      <c r="C40" s="8">
        <f>C39/C32</f>
        <v>1</v>
      </c>
      <c r="D40" s="8">
        <f t="shared" ref="D40" si="16">D39/D32</f>
        <v>1.0213089299952927</v>
      </c>
      <c r="E40" s="8">
        <f t="shared" ref="E40" si="17">E39/E32</f>
        <v>1.2784666578066715</v>
      </c>
      <c r="F40" s="8">
        <f t="shared" ref="F40" si="18">F39/F32</f>
        <v>1.1342432547064756</v>
      </c>
      <c r="G40" s="8">
        <f t="shared" ref="G40" si="19">G39/G32</f>
        <v>0.80391625508843489</v>
      </c>
      <c r="H40" s="8">
        <f t="shared" ref="H40" si="20">H39/H32</f>
        <v>0.41534900552276799</v>
      </c>
      <c r="I40" s="8">
        <f t="shared" ref="I40" si="21">I39/I32</f>
        <v>0.20926032235516084</v>
      </c>
    </row>
    <row r="41" spans="2:9" ht="15" thickBot="1" x14ac:dyDescent="0.25"/>
    <row r="42" spans="2:9" ht="15" thickBot="1" x14ac:dyDescent="0.25">
      <c r="B42" s="11">
        <v>5000000</v>
      </c>
      <c r="C42" s="1">
        <v>1</v>
      </c>
      <c r="D42" s="1">
        <v>2</v>
      </c>
      <c r="E42" s="1">
        <v>4</v>
      </c>
      <c r="F42" s="1">
        <v>8</v>
      </c>
      <c r="G42" s="1">
        <v>16</v>
      </c>
      <c r="H42" s="1">
        <v>32</v>
      </c>
      <c r="I42" s="1">
        <v>64</v>
      </c>
    </row>
    <row r="43" spans="2:9" ht="15" thickBot="1" x14ac:dyDescent="0.25">
      <c r="C43" s="1">
        <v>1.2987200000000001</v>
      </c>
      <c r="D43" s="2">
        <v>0.72353699999999999</v>
      </c>
      <c r="E43" s="2">
        <v>0.33538699999999999</v>
      </c>
      <c r="F43" s="2">
        <v>0.16225200000000001</v>
      </c>
      <c r="G43" s="2">
        <v>0.108657</v>
      </c>
      <c r="H43" s="2">
        <v>9.4720299999999993E-2</v>
      </c>
      <c r="I43" s="2">
        <v>0.103072</v>
      </c>
    </row>
    <row r="44" spans="2:9" ht="15" thickBot="1" x14ac:dyDescent="0.25">
      <c r="C44" s="1">
        <v>1.41028</v>
      </c>
      <c r="D44" s="2">
        <v>0.77284399999999998</v>
      </c>
      <c r="E44" s="2">
        <v>0.33673999999999998</v>
      </c>
      <c r="F44" s="2">
        <v>0.16258300000000001</v>
      </c>
      <c r="G44" s="2">
        <v>0.109788</v>
      </c>
      <c r="H44" s="2">
        <v>0.1096</v>
      </c>
      <c r="I44" s="2">
        <v>0.105348</v>
      </c>
    </row>
    <row r="45" spans="2:9" ht="15" thickBot="1" x14ac:dyDescent="0.25">
      <c r="C45" s="1">
        <v>1.3339399999999999</v>
      </c>
      <c r="D45" s="2">
        <v>0.608873</v>
      </c>
      <c r="E45" s="2">
        <v>0.35347400000000001</v>
      </c>
      <c r="F45" s="2">
        <v>0.156387</v>
      </c>
      <c r="G45" s="2">
        <v>0.108712</v>
      </c>
      <c r="H45" s="2">
        <v>0.103237</v>
      </c>
      <c r="I45" s="2">
        <v>9.0993900000000003E-2</v>
      </c>
    </row>
    <row r="46" spans="2:9" ht="15" thickBot="1" x14ac:dyDescent="0.25">
      <c r="C46" s="1">
        <v>1.1846099999999999</v>
      </c>
      <c r="D46" s="2">
        <v>0.60111099999999995</v>
      </c>
      <c r="E46" s="2">
        <v>0.34486299999999998</v>
      </c>
      <c r="F46" s="2">
        <v>0.16172500000000001</v>
      </c>
      <c r="G46" s="2">
        <v>0.117048</v>
      </c>
      <c r="H46" s="2">
        <v>0.103723</v>
      </c>
      <c r="I46" s="2">
        <v>9.8236400000000001E-2</v>
      </c>
    </row>
    <row r="47" spans="2:9" ht="15" thickBot="1" x14ac:dyDescent="0.25">
      <c r="C47" s="1">
        <v>1.41296</v>
      </c>
      <c r="D47" s="2">
        <v>0.74696799999999997</v>
      </c>
      <c r="E47" s="2">
        <v>0.36349199999999998</v>
      </c>
      <c r="F47" s="2">
        <v>0.16195799999999999</v>
      </c>
      <c r="G47" s="2">
        <v>0.116289</v>
      </c>
      <c r="H47" s="2">
        <v>0.100199</v>
      </c>
      <c r="I47" s="2">
        <v>0.103699</v>
      </c>
    </row>
    <row r="48" spans="2:9" ht="15" thickBot="1" x14ac:dyDescent="0.25">
      <c r="B48" s="6" t="s">
        <v>0</v>
      </c>
      <c r="C48" s="3">
        <f>AVERAGE(C43:C47)</f>
        <v>1.3281019999999999</v>
      </c>
      <c r="D48" s="3">
        <f t="shared" ref="D48:I48" si="22">AVERAGE(D43:D47)</f>
        <v>0.69066659999999991</v>
      </c>
      <c r="E48" s="3">
        <f t="shared" si="22"/>
        <v>0.34679119999999997</v>
      </c>
      <c r="F48" s="3">
        <f t="shared" si="22"/>
        <v>0.16098099999999999</v>
      </c>
      <c r="G48" s="3">
        <f t="shared" si="22"/>
        <v>0.11209880000000001</v>
      </c>
      <c r="H48" s="3">
        <f t="shared" si="22"/>
        <v>0.10229586000000002</v>
      </c>
      <c r="I48" s="3">
        <f t="shared" si="22"/>
        <v>0.10026986</v>
      </c>
    </row>
    <row r="49" spans="2:9" ht="15" thickBot="1" x14ac:dyDescent="0.25">
      <c r="B49" s="6" t="s">
        <v>1</v>
      </c>
      <c r="C49" s="7">
        <f>$C$48/C48</f>
        <v>1</v>
      </c>
      <c r="D49" s="7">
        <f t="shared" ref="D49:I49" si="23">$C$48/D48</f>
        <v>1.9229277917883969</v>
      </c>
      <c r="E49" s="7">
        <f t="shared" si="23"/>
        <v>3.829687719872938</v>
      </c>
      <c r="F49" s="7">
        <f t="shared" si="23"/>
        <v>8.2500543542405627</v>
      </c>
      <c r="G49" s="7">
        <f t="shared" si="23"/>
        <v>11.847602293690921</v>
      </c>
      <c r="H49" s="7">
        <f t="shared" si="23"/>
        <v>12.982949652116906</v>
      </c>
      <c r="I49" s="7">
        <f t="shared" si="23"/>
        <v>13.245276297383878</v>
      </c>
    </row>
    <row r="50" spans="2:9" ht="15" thickBot="1" x14ac:dyDescent="0.25">
      <c r="B50" s="6" t="s">
        <v>2</v>
      </c>
      <c r="C50" s="8">
        <f>C49/C42</f>
        <v>1</v>
      </c>
      <c r="D50" s="8">
        <f t="shared" ref="D50" si="24">D49/D42</f>
        <v>0.96146389589419845</v>
      </c>
      <c r="E50" s="8">
        <f t="shared" ref="E50" si="25">E49/E42</f>
        <v>0.9574219299682345</v>
      </c>
      <c r="F50" s="8">
        <f t="shared" ref="F50" si="26">F49/F42</f>
        <v>1.0312567942800703</v>
      </c>
      <c r="G50" s="8">
        <f t="shared" ref="G50" si="27">G49/G42</f>
        <v>0.74047514335568254</v>
      </c>
      <c r="H50" s="8">
        <f t="shared" ref="H50" si="28">H49/H42</f>
        <v>0.40571717662865331</v>
      </c>
      <c r="I50" s="8">
        <f t="shared" ref="I50" si="29">I49/I42</f>
        <v>0.20695744214662309</v>
      </c>
    </row>
    <row r="51" spans="2:9" ht="15" thickBot="1" x14ac:dyDescent="0.25"/>
    <row r="52" spans="2:9" ht="15" thickBot="1" x14ac:dyDescent="0.25">
      <c r="B52" s="11">
        <v>6000000</v>
      </c>
      <c r="C52" s="1">
        <v>1</v>
      </c>
      <c r="D52" s="1">
        <v>2</v>
      </c>
      <c r="E52" s="1">
        <v>4</v>
      </c>
      <c r="F52" s="1">
        <v>8</v>
      </c>
      <c r="G52" s="1">
        <v>16</v>
      </c>
      <c r="H52" s="1">
        <v>32</v>
      </c>
      <c r="I52" s="1">
        <v>64</v>
      </c>
    </row>
    <row r="53" spans="2:9" ht="15" thickBot="1" x14ac:dyDescent="0.25">
      <c r="C53" s="1">
        <v>1.7505599999999999</v>
      </c>
      <c r="D53" s="2">
        <v>0.94388700000000003</v>
      </c>
      <c r="E53" s="2">
        <v>0.425707</v>
      </c>
      <c r="F53" s="2">
        <v>0.20665900000000001</v>
      </c>
      <c r="G53" s="2">
        <v>0.120656</v>
      </c>
      <c r="H53" s="2">
        <v>0.12223000000000001</v>
      </c>
      <c r="I53" s="2">
        <v>0.113188</v>
      </c>
    </row>
    <row r="54" spans="2:9" ht="15" thickBot="1" x14ac:dyDescent="0.25">
      <c r="C54" s="1">
        <v>1.7497799999999999</v>
      </c>
      <c r="D54" s="2">
        <v>1.0678700000000001</v>
      </c>
      <c r="E54" s="2">
        <v>0.44320199999999998</v>
      </c>
      <c r="F54" s="2">
        <v>0.20338899999999999</v>
      </c>
      <c r="G54" s="2">
        <v>0.132878</v>
      </c>
      <c r="H54" s="2">
        <v>0.126</v>
      </c>
      <c r="I54" s="2">
        <v>0.12780900000000001</v>
      </c>
    </row>
    <row r="55" spans="2:9" ht="15" thickBot="1" x14ac:dyDescent="0.25">
      <c r="C55" s="1">
        <v>1.9841299999999999</v>
      </c>
      <c r="D55" s="2">
        <v>0.93271099999999996</v>
      </c>
      <c r="E55" s="2">
        <v>0.48499900000000001</v>
      </c>
      <c r="F55" s="2">
        <v>0.203541</v>
      </c>
      <c r="G55" s="2">
        <v>0.13328000000000001</v>
      </c>
      <c r="H55" s="2">
        <v>0.12432699999999999</v>
      </c>
      <c r="I55" s="2">
        <v>0.12859699999999999</v>
      </c>
    </row>
    <row r="56" spans="2:9" ht="15" thickBot="1" x14ac:dyDescent="0.25">
      <c r="C56" s="1">
        <v>1.62662</v>
      </c>
      <c r="D56" s="2">
        <v>0.97363699999999997</v>
      </c>
      <c r="E56" s="2">
        <v>0.43946499999999999</v>
      </c>
      <c r="F56" s="2">
        <v>0.21791199999999999</v>
      </c>
      <c r="G56" s="2">
        <v>0.12731300000000001</v>
      </c>
      <c r="H56" s="2">
        <v>0.13283</v>
      </c>
      <c r="I56" s="2">
        <v>0.11552</v>
      </c>
    </row>
    <row r="57" spans="2:9" ht="15" thickBot="1" x14ac:dyDescent="0.25">
      <c r="C57" s="1">
        <v>1.6719599999999999</v>
      </c>
      <c r="D57" s="2">
        <v>0.95761300000000005</v>
      </c>
      <c r="E57" s="2">
        <v>0.47656500000000002</v>
      </c>
      <c r="F57" s="2">
        <v>0.202843</v>
      </c>
      <c r="G57" s="2">
        <v>0.142208</v>
      </c>
      <c r="H57" s="2">
        <v>0.109787</v>
      </c>
      <c r="I57" s="2">
        <v>0.11884</v>
      </c>
    </row>
    <row r="58" spans="2:9" ht="15" thickBot="1" x14ac:dyDescent="0.25">
      <c r="B58" s="6" t="s">
        <v>0</v>
      </c>
      <c r="C58" s="3">
        <f>AVERAGE(C53:C57)</f>
        <v>1.7566099999999998</v>
      </c>
      <c r="D58" s="3">
        <f t="shared" ref="D58" si="30">AVERAGE(D53:D57)</f>
        <v>0.9751436</v>
      </c>
      <c r="E58" s="3">
        <f t="shared" ref="E58" si="31">AVERAGE(E53:E57)</f>
        <v>0.45398759999999994</v>
      </c>
      <c r="F58" s="3">
        <f t="shared" ref="F58" si="32">AVERAGE(F53:F57)</f>
        <v>0.20686879999999999</v>
      </c>
      <c r="G58" s="3">
        <f t="shared" ref="G58" si="33">AVERAGE(G53:G57)</f>
        <v>0.13126699999999999</v>
      </c>
      <c r="H58" s="3">
        <f t="shared" ref="H58" si="34">AVERAGE(H53:H57)</f>
        <v>0.1230348</v>
      </c>
      <c r="I58" s="3">
        <f t="shared" ref="I58" si="35">AVERAGE(I53:I57)</f>
        <v>0.1207908</v>
      </c>
    </row>
    <row r="59" spans="2:9" ht="15" thickBot="1" x14ac:dyDescent="0.25">
      <c r="B59" s="6" t="s">
        <v>1</v>
      </c>
      <c r="C59" s="7">
        <f>$C$58/C58</f>
        <v>1</v>
      </c>
      <c r="D59" s="7">
        <f t="shared" ref="D59:I59" si="36">$C$58/D58</f>
        <v>1.8013859702304356</v>
      </c>
      <c r="E59" s="7">
        <f t="shared" si="36"/>
        <v>3.8692907030940935</v>
      </c>
      <c r="F59" s="7">
        <f t="shared" si="36"/>
        <v>8.4914206492230822</v>
      </c>
      <c r="G59" s="7">
        <f t="shared" si="36"/>
        <v>13.38196195540387</v>
      </c>
      <c r="H59" s="7">
        <f t="shared" si="36"/>
        <v>14.277342670528986</v>
      </c>
      <c r="I59" s="7">
        <f t="shared" si="36"/>
        <v>14.542581057497754</v>
      </c>
    </row>
    <row r="60" spans="2:9" ht="15" thickBot="1" x14ac:dyDescent="0.25">
      <c r="B60" s="6" t="s">
        <v>2</v>
      </c>
      <c r="C60" s="8">
        <f>C59/C52</f>
        <v>1</v>
      </c>
      <c r="D60" s="8">
        <f t="shared" ref="D60" si="37">D59/D52</f>
        <v>0.90069298511521778</v>
      </c>
      <c r="E60" s="8">
        <f t="shared" ref="E60" si="38">E59/E52</f>
        <v>0.96732267577352338</v>
      </c>
      <c r="F60" s="8">
        <f t="shared" ref="F60" si="39">F59/F52</f>
        <v>1.0614275811528853</v>
      </c>
      <c r="G60" s="8">
        <f t="shared" ref="G60" si="40">G59/G52</f>
        <v>0.83637262221274189</v>
      </c>
      <c r="H60" s="8">
        <f t="shared" ref="H60" si="41">H59/H52</f>
        <v>0.44616695845403082</v>
      </c>
      <c r="I60" s="8">
        <f t="shared" ref="I60" si="42">I59/I52</f>
        <v>0.22722782902340241</v>
      </c>
    </row>
    <row r="61" spans="2:9" ht="15" thickBot="1" x14ac:dyDescent="0.25"/>
    <row r="62" spans="2:9" ht="15" thickBot="1" x14ac:dyDescent="0.25">
      <c r="B62" s="11">
        <v>7000000</v>
      </c>
      <c r="C62" s="1">
        <v>1</v>
      </c>
      <c r="D62" s="1">
        <v>2</v>
      </c>
      <c r="E62" s="1">
        <v>4</v>
      </c>
      <c r="F62" s="1">
        <v>8</v>
      </c>
      <c r="G62" s="1">
        <v>16</v>
      </c>
      <c r="H62" s="1">
        <v>32</v>
      </c>
      <c r="I62" s="1">
        <v>64</v>
      </c>
    </row>
    <row r="63" spans="2:9" ht="15" thickBot="1" x14ac:dyDescent="0.25">
      <c r="C63" s="1">
        <v>1.8929499999999999</v>
      </c>
      <c r="D63" s="2">
        <v>0.93979400000000002</v>
      </c>
      <c r="E63" s="2">
        <v>0.59889000000000003</v>
      </c>
      <c r="F63" s="2">
        <v>0.26239099999999999</v>
      </c>
      <c r="G63" s="2">
        <v>0.15881300000000001</v>
      </c>
      <c r="H63" s="2">
        <v>0.14352400000000001</v>
      </c>
      <c r="I63" s="2">
        <v>0.13325400000000001</v>
      </c>
    </row>
    <row r="64" spans="2:9" ht="15" thickBot="1" x14ac:dyDescent="0.25">
      <c r="C64" s="1">
        <v>1.90422</v>
      </c>
      <c r="D64" s="2">
        <v>1.3320799999999999</v>
      </c>
      <c r="E64" s="2">
        <v>0.52172799999999997</v>
      </c>
      <c r="F64" s="2">
        <v>0.23158000000000001</v>
      </c>
      <c r="G64" s="2">
        <v>0.154198</v>
      </c>
      <c r="H64" s="2">
        <v>0.142238</v>
      </c>
      <c r="I64" s="2">
        <v>0.14646600000000001</v>
      </c>
    </row>
    <row r="65" spans="2:9" ht="15" thickBot="1" x14ac:dyDescent="0.25">
      <c r="C65" s="1">
        <v>1.9565600000000001</v>
      </c>
      <c r="D65" s="2">
        <v>0.89963800000000005</v>
      </c>
      <c r="E65" s="2">
        <v>0.53400800000000004</v>
      </c>
      <c r="F65" s="2">
        <v>0.24012800000000001</v>
      </c>
      <c r="G65" s="2">
        <v>0.17202700000000001</v>
      </c>
      <c r="H65" s="2">
        <v>0.14905099999999999</v>
      </c>
      <c r="I65" s="2">
        <v>0.14929799999999999</v>
      </c>
    </row>
    <row r="66" spans="2:9" ht="15" thickBot="1" x14ac:dyDescent="0.25">
      <c r="C66" s="1">
        <v>1.84789</v>
      </c>
      <c r="D66" s="2">
        <v>1.2082999999999999</v>
      </c>
      <c r="E66" s="2">
        <v>0.43617299999999998</v>
      </c>
      <c r="F66" s="2">
        <v>0.24801100000000001</v>
      </c>
      <c r="G66" s="2">
        <v>0.16247300000000001</v>
      </c>
      <c r="H66" s="2">
        <v>0.142818</v>
      </c>
      <c r="I66" s="2">
        <v>0.147118</v>
      </c>
    </row>
    <row r="67" spans="2:9" ht="15" thickBot="1" x14ac:dyDescent="0.25">
      <c r="C67" s="1">
        <v>2.0949599999999999</v>
      </c>
      <c r="D67" s="2">
        <v>1.1087800000000001</v>
      </c>
      <c r="E67" s="2">
        <v>0.55465799999999998</v>
      </c>
      <c r="F67" s="2">
        <v>0.244202</v>
      </c>
      <c r="G67" s="2">
        <v>0.15570600000000001</v>
      </c>
      <c r="H67" s="2">
        <v>0.141259</v>
      </c>
      <c r="I67" s="2">
        <v>0.13147200000000001</v>
      </c>
    </row>
    <row r="68" spans="2:9" ht="15" thickBot="1" x14ac:dyDescent="0.25">
      <c r="B68" s="6" t="s">
        <v>0</v>
      </c>
      <c r="C68" s="3">
        <f>AVERAGE(C63:C67)</f>
        <v>1.9393160000000003</v>
      </c>
      <c r="D68" s="3">
        <f t="shared" ref="D68:I68" si="43">AVERAGE(D63:D67)</f>
        <v>1.0977184</v>
      </c>
      <c r="E68" s="3">
        <f t="shared" si="43"/>
        <v>0.52909139999999999</v>
      </c>
      <c r="F68" s="3">
        <f t="shared" si="43"/>
        <v>0.24526240000000002</v>
      </c>
      <c r="G68" s="3">
        <f t="shared" si="43"/>
        <v>0.16064340000000002</v>
      </c>
      <c r="H68" s="3">
        <f t="shared" si="43"/>
        <v>0.14377800000000002</v>
      </c>
      <c r="I68" s="3">
        <f t="shared" si="43"/>
        <v>0.1415216</v>
      </c>
    </row>
    <row r="69" spans="2:9" ht="15" thickBot="1" x14ac:dyDescent="0.25">
      <c r="B69" s="6" t="s">
        <v>1</v>
      </c>
      <c r="C69" s="7">
        <f>$C$68/C68</f>
        <v>1</v>
      </c>
      <c r="D69" s="7">
        <f t="shared" ref="D69:H69" si="44">$C$68/D68</f>
        <v>1.7666789588295142</v>
      </c>
      <c r="E69" s="7">
        <f t="shared" si="44"/>
        <v>3.6653704823023023</v>
      </c>
      <c r="F69" s="7">
        <f t="shared" si="44"/>
        <v>7.9071068374116873</v>
      </c>
      <c r="G69" s="7">
        <f t="shared" si="44"/>
        <v>12.072179747191607</v>
      </c>
      <c r="H69" s="7">
        <f t="shared" si="44"/>
        <v>13.488266633281865</v>
      </c>
      <c r="I69" s="7">
        <f>$C$68/I68</f>
        <v>13.703321613096518</v>
      </c>
    </row>
    <row r="70" spans="2:9" ht="15" thickBot="1" x14ac:dyDescent="0.25">
      <c r="B70" s="6" t="s">
        <v>2</v>
      </c>
      <c r="C70" s="8">
        <f>C69/C62</f>
        <v>1</v>
      </c>
      <c r="D70" s="8">
        <f t="shared" ref="D70:I70" si="45">D69/D62</f>
        <v>0.8833394794147571</v>
      </c>
      <c r="E70" s="8">
        <f t="shared" si="45"/>
        <v>0.91634262057557558</v>
      </c>
      <c r="F70" s="8">
        <f t="shared" si="45"/>
        <v>0.98838835467646091</v>
      </c>
      <c r="G70" s="8">
        <f t="shared" si="45"/>
        <v>0.75451123419947541</v>
      </c>
      <c r="H70" s="8">
        <f t="shared" si="45"/>
        <v>0.4215083322900583</v>
      </c>
      <c r="I70" s="8">
        <f t="shared" si="45"/>
        <v>0.2141144002046331</v>
      </c>
    </row>
    <row r="71" spans="2:9" ht="15" thickBot="1" x14ac:dyDescent="0.25"/>
    <row r="72" spans="2:9" ht="15" thickBot="1" x14ac:dyDescent="0.25">
      <c r="B72" s="11">
        <v>8000000</v>
      </c>
      <c r="C72" s="1">
        <v>1</v>
      </c>
      <c r="D72" s="1">
        <v>2</v>
      </c>
      <c r="E72" s="1">
        <v>4</v>
      </c>
      <c r="F72" s="1">
        <v>8</v>
      </c>
      <c r="G72" s="1">
        <v>16</v>
      </c>
      <c r="H72" s="1">
        <v>32</v>
      </c>
      <c r="I72" s="1">
        <v>64</v>
      </c>
    </row>
    <row r="73" spans="2:9" ht="15" thickBot="1" x14ac:dyDescent="0.25">
      <c r="C73" s="1">
        <v>2.6514700000000002</v>
      </c>
      <c r="D73" s="2">
        <v>1.4575</v>
      </c>
      <c r="E73" s="2">
        <v>0.640818</v>
      </c>
      <c r="F73" s="2">
        <v>0.26640000000000003</v>
      </c>
      <c r="G73" s="2">
        <v>0.17511499999999999</v>
      </c>
      <c r="H73" s="2">
        <v>0.15714</v>
      </c>
      <c r="I73" s="2">
        <v>0.15285899999999999</v>
      </c>
    </row>
    <row r="74" spans="2:9" ht="15" thickBot="1" x14ac:dyDescent="0.25">
      <c r="C74" s="1">
        <v>2.5587599999999999</v>
      </c>
      <c r="D74" s="2">
        <v>1.1848700000000001</v>
      </c>
      <c r="E74" s="2">
        <v>0.57598700000000003</v>
      </c>
      <c r="F74" s="2">
        <v>0.27121800000000001</v>
      </c>
      <c r="G74" s="2">
        <v>0.184111</v>
      </c>
      <c r="H74" s="2">
        <v>0.16562499999999999</v>
      </c>
      <c r="I74" s="2">
        <v>0.16478499999999999</v>
      </c>
    </row>
    <row r="75" spans="2:9" ht="15" thickBot="1" x14ac:dyDescent="0.25">
      <c r="C75" s="1">
        <v>2.5626799999999998</v>
      </c>
      <c r="D75" s="2">
        <v>1.4274899999999999</v>
      </c>
      <c r="E75" s="2">
        <v>0.688639</v>
      </c>
      <c r="F75" s="2">
        <v>0.29027799999999998</v>
      </c>
      <c r="G75" s="2">
        <v>0.182587</v>
      </c>
      <c r="H75" s="2">
        <v>0.16471</v>
      </c>
      <c r="I75" s="2">
        <v>0.16158600000000001</v>
      </c>
    </row>
    <row r="76" spans="2:9" ht="15" thickBot="1" x14ac:dyDescent="0.25">
      <c r="C76" s="1">
        <v>2.3172999999999999</v>
      </c>
      <c r="D76" s="2">
        <v>1.23245</v>
      </c>
      <c r="E76" s="2">
        <v>0.81279800000000002</v>
      </c>
      <c r="F76" s="2">
        <v>0.304205</v>
      </c>
      <c r="G76" s="2">
        <v>0.17741899999999999</v>
      </c>
      <c r="H76" s="2">
        <v>0.170097</v>
      </c>
      <c r="I76" s="2">
        <v>0.19772100000000001</v>
      </c>
    </row>
    <row r="77" spans="2:9" ht="15" thickBot="1" x14ac:dyDescent="0.25">
      <c r="C77" s="1">
        <v>2.7893500000000002</v>
      </c>
      <c r="D77" s="2">
        <v>1.3090200000000001</v>
      </c>
      <c r="E77" s="2">
        <v>0.64999600000000002</v>
      </c>
      <c r="F77" s="2">
        <v>0.28681699999999999</v>
      </c>
      <c r="G77" s="2">
        <v>0.176729</v>
      </c>
      <c r="H77" s="2">
        <v>0.13952000000000001</v>
      </c>
      <c r="I77" s="2">
        <v>0.156247</v>
      </c>
    </row>
    <row r="78" spans="2:9" ht="15" thickBot="1" x14ac:dyDescent="0.25">
      <c r="B78" s="6" t="s">
        <v>0</v>
      </c>
      <c r="C78" s="3">
        <f>AVERAGE(C73:C77)</f>
        <v>2.5759119999999998</v>
      </c>
      <c r="D78" s="3">
        <f t="shared" ref="D78:I78" si="46">AVERAGE(D73:D77)</f>
        <v>1.3222660000000002</v>
      </c>
      <c r="E78" s="3">
        <f t="shared" si="46"/>
        <v>0.67364760000000001</v>
      </c>
      <c r="F78" s="3">
        <f t="shared" si="46"/>
        <v>0.28378360000000002</v>
      </c>
      <c r="G78" s="3">
        <f t="shared" si="46"/>
        <v>0.1791922</v>
      </c>
      <c r="H78" s="3">
        <f t="shared" si="46"/>
        <v>0.15941840000000002</v>
      </c>
      <c r="I78" s="3">
        <f t="shared" si="46"/>
        <v>0.1666396</v>
      </c>
    </row>
    <row r="79" spans="2:9" ht="15" thickBot="1" x14ac:dyDescent="0.25">
      <c r="B79" s="6" t="s">
        <v>1</v>
      </c>
      <c r="C79" s="7">
        <f>$C$78/C78</f>
        <v>1</v>
      </c>
      <c r="D79" s="7">
        <f t="shared" ref="D79:I79" si="47">$C$78/D78</f>
        <v>1.948104239237793</v>
      </c>
      <c r="E79" s="7">
        <f t="shared" si="47"/>
        <v>3.8238271761081011</v>
      </c>
      <c r="F79" s="7">
        <f t="shared" si="47"/>
        <v>9.0770291165521879</v>
      </c>
      <c r="G79" s="7">
        <f t="shared" si="47"/>
        <v>14.375134631976168</v>
      </c>
      <c r="H79" s="7">
        <f t="shared" si="47"/>
        <v>16.158185002484025</v>
      </c>
      <c r="I79" s="7">
        <f t="shared" si="47"/>
        <v>15.457982376337917</v>
      </c>
    </row>
    <row r="80" spans="2:9" ht="15" thickBot="1" x14ac:dyDescent="0.25">
      <c r="B80" s="6" t="s">
        <v>2</v>
      </c>
      <c r="C80" s="8">
        <f>C79/C72</f>
        <v>1</v>
      </c>
      <c r="D80" s="8">
        <f t="shared" ref="D80:I80" si="48">D79/D72</f>
        <v>0.97405211961889648</v>
      </c>
      <c r="E80" s="8">
        <f t="shared" si="48"/>
        <v>0.95595679402702527</v>
      </c>
      <c r="F80" s="8">
        <f t="shared" si="48"/>
        <v>1.1346286395690235</v>
      </c>
      <c r="G80" s="8">
        <f t="shared" si="48"/>
        <v>0.89844591449851052</v>
      </c>
      <c r="H80" s="8">
        <f t="shared" si="48"/>
        <v>0.50494328132762578</v>
      </c>
      <c r="I80" s="8">
        <f t="shared" si="48"/>
        <v>0.24153097463027995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Wenjun Lee</dc:creator>
  <cp:lastModifiedBy>Wenjun Lee</cp:lastModifiedBy>
  <dcterms:created xsi:type="dcterms:W3CDTF">2026-03-29T14:54:33Z</dcterms:created>
  <dcterms:modified xsi:type="dcterms:W3CDTF">2026-05-08T15:41:10Z</dcterms:modified>
</cp:coreProperties>
</file>