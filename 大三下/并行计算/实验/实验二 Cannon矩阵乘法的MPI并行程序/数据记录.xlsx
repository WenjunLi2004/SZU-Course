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2d9a24ccc042b8/Course/并行计算/实验/实验二/"/>
    </mc:Choice>
  </mc:AlternateContent>
  <xr:revisionPtr revIDLastSave="17" documentId="13_ncr:1_{10BE55C7-EC3D-46D9-8F9B-12FF79A950F6}" xr6:coauthVersionLast="47" xr6:coauthVersionMax="47" xr10:uidLastSave="{9689CCCD-279A-8B45-8EEF-B5931372F0AB}"/>
  <bookViews>
    <workbookView xWindow="0" yWindow="660" windowWidth="29400" windowHeight="17260" xr2:uid="{9A0A2D00-F43A-4DD4-97B9-A37300927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" l="1"/>
  <c r="H58" i="1"/>
  <c r="G58" i="1"/>
  <c r="F58" i="1"/>
  <c r="E58" i="1"/>
  <c r="D58" i="1"/>
  <c r="C58" i="1"/>
  <c r="D48" i="1"/>
  <c r="E48" i="1"/>
  <c r="F48" i="1"/>
  <c r="G48" i="1"/>
  <c r="H48" i="1"/>
  <c r="I48" i="1"/>
  <c r="D38" i="1"/>
  <c r="E38" i="1"/>
  <c r="F38" i="1"/>
  <c r="G38" i="1"/>
  <c r="H38" i="1"/>
  <c r="I38" i="1"/>
  <c r="D28" i="1"/>
  <c r="E28" i="1"/>
  <c r="F28" i="1"/>
  <c r="G28" i="1"/>
  <c r="H28" i="1"/>
  <c r="I28" i="1"/>
  <c r="C48" i="1"/>
  <c r="P3" i="1" s="1" a="1"/>
  <c r="P3" i="1" s="1"/>
  <c r="C38" i="1"/>
  <c r="O3" i="1" s="1" a="1"/>
  <c r="O3" i="1" s="1"/>
  <c r="C28" i="1"/>
  <c r="I29" i="1" s="1"/>
  <c r="I30" i="1" s="1"/>
  <c r="D18" i="1"/>
  <c r="E18" i="1"/>
  <c r="F18" i="1"/>
  <c r="G18" i="1"/>
  <c r="H18" i="1"/>
  <c r="I18" i="1"/>
  <c r="C18" i="1"/>
  <c r="H19" i="1" s="1"/>
  <c r="D8" i="1"/>
  <c r="E8" i="1"/>
  <c r="F8" i="1"/>
  <c r="G8" i="1"/>
  <c r="H8" i="1"/>
  <c r="I8" i="1"/>
  <c r="C8" i="1"/>
  <c r="L3" i="1" s="1" a="1"/>
  <c r="L3" i="1" s="1"/>
  <c r="Q3" i="1" l="1" a="1"/>
  <c r="Q3" i="1" s="1"/>
  <c r="G59" i="1"/>
  <c r="G60" i="1" s="1"/>
  <c r="N3" i="1" a="1"/>
  <c r="N3" i="1" s="1"/>
  <c r="M3" i="1" a="1"/>
  <c r="M3" i="1" s="1"/>
  <c r="H49" i="1"/>
  <c r="H50" i="1" s="1"/>
  <c r="I59" i="1"/>
  <c r="I60" i="1" s="1"/>
  <c r="D39" i="1"/>
  <c r="D40" i="1" s="1"/>
  <c r="D19" i="1"/>
  <c r="D20" i="1" s="1"/>
  <c r="H59" i="1"/>
  <c r="H60" i="1" s="1"/>
  <c r="E39" i="1"/>
  <c r="E40" i="1" s="1"/>
  <c r="C19" i="1"/>
  <c r="I19" i="1"/>
  <c r="I20" i="1" s="1"/>
  <c r="G49" i="1"/>
  <c r="G50" i="1" s="1"/>
  <c r="F49" i="1"/>
  <c r="F50" i="1" s="1"/>
  <c r="E49" i="1"/>
  <c r="E50" i="1" s="1"/>
  <c r="G19" i="1"/>
  <c r="G20" i="1" s="1"/>
  <c r="F19" i="1"/>
  <c r="F20" i="1" s="1"/>
  <c r="D49" i="1"/>
  <c r="D50" i="1" s="1"/>
  <c r="F39" i="1"/>
  <c r="F40" i="1" s="1"/>
  <c r="E19" i="1"/>
  <c r="E20" i="1" s="1"/>
  <c r="F59" i="1"/>
  <c r="F60" i="1" s="1"/>
  <c r="D59" i="1"/>
  <c r="D60" i="1" s="1"/>
  <c r="C29" i="1"/>
  <c r="H29" i="1"/>
  <c r="H30" i="1" s="1"/>
  <c r="G29" i="1"/>
  <c r="G30" i="1" s="1"/>
  <c r="F29" i="1"/>
  <c r="F30" i="1" s="1"/>
  <c r="E29" i="1"/>
  <c r="E30" i="1" s="1"/>
  <c r="D29" i="1"/>
  <c r="D30" i="1" s="1"/>
  <c r="E59" i="1"/>
  <c r="E60" i="1" s="1"/>
  <c r="C59" i="1"/>
  <c r="C49" i="1"/>
  <c r="I49" i="1"/>
  <c r="I50" i="1" s="1"/>
  <c r="C39" i="1"/>
  <c r="H39" i="1"/>
  <c r="H40" i="1" s="1"/>
  <c r="G39" i="1"/>
  <c r="G40" i="1" s="1"/>
  <c r="I39" i="1"/>
  <c r="I40" i="1" s="1"/>
  <c r="I9" i="1"/>
  <c r="I10" i="1" s="1"/>
  <c r="F9" i="1"/>
  <c r="F10" i="1" s="1"/>
  <c r="E9" i="1"/>
  <c r="E10" i="1" s="1"/>
  <c r="H20" i="1"/>
  <c r="C9" i="1"/>
  <c r="H9" i="1"/>
  <c r="H10" i="1" s="1"/>
  <c r="G9" i="1"/>
  <c r="G10" i="1" s="1"/>
  <c r="D9" i="1"/>
  <c r="D10" i="1" s="1"/>
  <c r="C50" i="1" l="1"/>
  <c r="P23" i="1" s="1" a="1"/>
  <c r="P23" i="1" s="1"/>
  <c r="P13" i="1" a="1"/>
  <c r="P13" i="1" s="1"/>
  <c r="C60" i="1"/>
  <c r="Q23" i="1" s="1" a="1"/>
  <c r="Q23" i="1" s="1"/>
  <c r="Q13" i="1" a="1"/>
  <c r="Q13" i="1" s="1"/>
  <c r="C40" i="1"/>
  <c r="O23" i="1" s="1" a="1"/>
  <c r="O23" i="1" s="1"/>
  <c r="O13" i="1" a="1"/>
  <c r="O13" i="1" s="1"/>
  <c r="C30" i="1"/>
  <c r="N23" i="1" s="1" a="1"/>
  <c r="N23" i="1" s="1"/>
  <c r="N13" i="1" a="1"/>
  <c r="N13" i="1" s="1"/>
  <c r="C20" i="1"/>
  <c r="M23" i="1" s="1" a="1"/>
  <c r="M23" i="1" s="1"/>
  <c r="M13" i="1" a="1"/>
  <c r="M13" i="1" s="1"/>
  <c r="C10" i="1"/>
  <c r="L23" i="1" s="1" a="1"/>
  <c r="L23" i="1" s="1"/>
  <c r="L13" i="1" a="1"/>
  <c r="L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<sst xmlns="http://schemas.openxmlformats.org/spreadsheetml/2006/main" count="42" uniqueCount="9">
  <si>
    <t>N=420</t>
    <phoneticPr fontId="2" type="noConversion"/>
  </si>
  <si>
    <t>N=840</t>
    <phoneticPr fontId="2" type="noConversion"/>
  </si>
  <si>
    <t>N=1260</t>
    <phoneticPr fontId="2" type="noConversion"/>
  </si>
  <si>
    <t>N=1680</t>
    <phoneticPr fontId="2" type="noConversion"/>
  </si>
  <si>
    <t>N=2100</t>
    <phoneticPr fontId="2" type="noConversion"/>
  </si>
  <si>
    <t>N=2520</t>
    <phoneticPr fontId="2" type="noConversion"/>
  </si>
  <si>
    <t>平均运行时间</t>
    <phoneticPr fontId="2" type="noConversion"/>
  </si>
  <si>
    <t>加速比</t>
    <phoneticPr fontId="2" type="noConversion"/>
  </si>
  <si>
    <t>效率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</si>
</sst>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_);[Red]\(0.00000\)"/>
  </numFmts>
  <fonts count="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461-63FF-4F13-B128-153599EB9261}">
  <dimension ref="B1:Q60"/>
  <sheetViews>
    <sheetView tabSelected="1" zoomScale="130" zoomScaleNormal="130" workbookViewId="0">
      <selection activeCell="K18" sqref="K18"/>
    </sheetView>
  </sheetViews>
  <sheetFormatPr baseColWidth="10" defaultColWidth="8.83203125" defaultRowHeight="15"/>
  <cols>
    <col min="2" max="2" width="14.33203125" customWidth="1"/>
    <col min="3" max="3" width="10" bestFit="1" customWidth="1"/>
    <col min="4" max="6" width="9.5" bestFit="1" customWidth="1"/>
    <col min="7" max="7" width="10.5" bestFit="1" customWidth="1"/>
    <col min="8" max="9" width="9.5" bestFit="1" customWidth="1"/>
    <col min="12" max="12" width="10" bestFit="1" customWidth="1"/>
    <col min="13" max="17" width="9" bestFit="1" customWidth="1"/>
  </cols>
  <sheetData>
    <row r="1" spans="2:17" ht="16" thickBot="1"/>
    <row r="2" spans="2:17" ht="16" thickBot="1">
      <c r="B2" s="3" t="s">
        <v>0</v>
      </c>
      <c r="C2" s="1">
        <v>1</v>
      </c>
      <c r="D2" s="1">
        <v>4</v>
      </c>
      <c r="E2" s="1">
        <v>9</v>
      </c>
      <c r="F2" s="1">
        <v>16</v>
      </c>
      <c r="G2" s="1">
        <v>25</v>
      </c>
      <c r="H2" s="1">
        <v>36</v>
      </c>
      <c r="I2" s="1">
        <v>49</v>
      </c>
      <c r="L2" s="7" t="s">
        <v>0</v>
      </c>
      <c r="M2" s="7" t="s">
        <v>1</v>
      </c>
      <c r="N2" s="7" t="s">
        <v>2</v>
      </c>
      <c r="O2" s="7" t="s">
        <v>3</v>
      </c>
      <c r="P2" s="7" t="s">
        <v>4</v>
      </c>
      <c r="Q2" s="7" t="s">
        <v>5</v>
      </c>
    </row>
    <row r="3" spans="2:17" ht="16" thickBot="1">
      <c r="C3" s="4">
        <v>3.4184699999999998E-2</v>
      </c>
      <c r="D3" s="5">
        <v>2.7883100000000001E-2</v>
      </c>
      <c r="E3" s="5">
        <v>2.0855499999999999E-2</v>
      </c>
      <c r="F3" s="5">
        <v>2.3775000000000001E-2</v>
      </c>
      <c r="G3" s="5">
        <v>3.2932599999999999E-2</v>
      </c>
      <c r="H3" s="5">
        <v>1.4520699999999999E-2</v>
      </c>
      <c r="I3" s="5">
        <v>3.0648700000000001E-2</v>
      </c>
      <c r="K3" s="1">
        <v>1</v>
      </c>
      <c r="L3" s="10" cm="1">
        <f t="array" ref="L3:L9">TRANSPOSE(C8:I8)</f>
        <v>3.4328499999999998E-2</v>
      </c>
      <c r="M3" s="10" cm="1">
        <f t="array" ref="M3:M9">TRANSPOSE(C18:I18)</f>
        <v>0.26182340000000004</v>
      </c>
      <c r="N3" s="10" cm="1">
        <f t="array" ref="N3:N9">TRANSPOSE(C28:I28)</f>
        <v>0.91760640000000004</v>
      </c>
      <c r="O3" s="10" cm="1">
        <f t="array" ref="O3:O9">TRANSPOSE(C38:I38)</f>
        <v>5.3792799999999996</v>
      </c>
      <c r="P3" s="10" cm="1">
        <f t="array" ref="P3:P9">TRANSPOSE(C48:I48)</f>
        <v>19.130239999999997</v>
      </c>
      <c r="Q3" s="10" cm="1">
        <f t="array" ref="Q3:Q9">TRANSPOSE(C58:I58)</f>
        <v>30.154720000000005</v>
      </c>
    </row>
    <row r="4" spans="2:17" ht="16" thickBot="1">
      <c r="C4" s="4">
        <v>3.45525E-2</v>
      </c>
      <c r="D4" s="5">
        <v>3.0941900000000001E-2</v>
      </c>
      <c r="E4" s="5">
        <v>2.26371E-2</v>
      </c>
      <c r="F4" s="5">
        <v>2.76431E-2</v>
      </c>
      <c r="G4" s="5">
        <v>3.2078799999999998E-2</v>
      </c>
      <c r="H4" s="5">
        <v>1.7286800000000001E-2</v>
      </c>
      <c r="I4" s="5">
        <v>2.8209700000000001E-2</v>
      </c>
      <c r="K4" s="1">
        <v>4</v>
      </c>
      <c r="L4" s="10">
        <v>3.1105899999999999E-2</v>
      </c>
      <c r="M4" s="10">
        <v>0.13654659999999999</v>
      </c>
      <c r="N4" s="10">
        <v>0.35352459999999997</v>
      </c>
      <c r="O4" s="10">
        <v>0.859456</v>
      </c>
      <c r="P4" s="10">
        <v>1.6962160000000002</v>
      </c>
      <c r="Q4" s="10">
        <v>2.8287079999999998</v>
      </c>
    </row>
    <row r="5" spans="2:17" ht="16" thickBot="1">
      <c r="C5" s="4">
        <v>3.44053E-2</v>
      </c>
      <c r="D5" s="5">
        <v>2.8408699999999999E-2</v>
      </c>
      <c r="E5" s="5">
        <v>2.2595899999999999E-2</v>
      </c>
      <c r="F5" s="5">
        <v>2.4067999999999999E-2</v>
      </c>
      <c r="G5" s="5">
        <v>3.3025699999999998E-2</v>
      </c>
      <c r="H5" s="5">
        <v>1.7877000000000001E-2</v>
      </c>
      <c r="I5" s="5">
        <v>3.0188199999999998E-2</v>
      </c>
      <c r="K5" s="1">
        <v>9</v>
      </c>
      <c r="L5" s="10">
        <v>2.2265979999999998E-2</v>
      </c>
      <c r="M5" s="10">
        <v>0.10056058000000001</v>
      </c>
      <c r="N5" s="10">
        <v>0.22426939999999998</v>
      </c>
      <c r="O5" s="10">
        <v>0.44090580000000001</v>
      </c>
      <c r="P5" s="10">
        <v>0.76173879999999994</v>
      </c>
      <c r="Q5" s="10">
        <v>1.2067679999999998</v>
      </c>
    </row>
    <row r="6" spans="2:17" ht="16" thickBot="1">
      <c r="C6" s="4">
        <v>3.4218999999999999E-2</v>
      </c>
      <c r="D6" s="5">
        <v>3.5349100000000001E-2</v>
      </c>
      <c r="E6" s="5">
        <v>2.1992899999999999E-2</v>
      </c>
      <c r="F6" s="5">
        <v>2.2745399999999999E-2</v>
      </c>
      <c r="G6" s="5">
        <v>3.1710000000000002E-2</v>
      </c>
      <c r="H6" s="5">
        <v>1.5747899999999999E-2</v>
      </c>
      <c r="I6" s="5">
        <v>3.1237999999999998E-2</v>
      </c>
      <c r="K6" s="1">
        <v>16</v>
      </c>
      <c r="L6" s="10">
        <v>2.437568E-2</v>
      </c>
      <c r="M6" s="10">
        <v>0.1060546</v>
      </c>
      <c r="N6" s="10">
        <v>0.23864640000000001</v>
      </c>
      <c r="O6" s="10">
        <v>0.42328120000000002</v>
      </c>
      <c r="P6" s="10">
        <v>0.7114376</v>
      </c>
      <c r="Q6" s="10">
        <v>1.1001939999999999</v>
      </c>
    </row>
    <row r="7" spans="2:17" ht="16" thickBot="1">
      <c r="C7" s="4">
        <v>3.4280999999999999E-2</v>
      </c>
      <c r="D7" s="5">
        <v>3.2946700000000002E-2</v>
      </c>
      <c r="E7" s="5">
        <v>2.3248499999999998E-2</v>
      </c>
      <c r="F7" s="5">
        <v>2.3646899999999998E-2</v>
      </c>
      <c r="G7" s="5">
        <v>3.2587900000000003E-2</v>
      </c>
      <c r="H7" s="5">
        <v>1.69756E-2</v>
      </c>
      <c r="I7" s="5">
        <v>3.00793E-2</v>
      </c>
      <c r="K7" s="1">
        <v>25</v>
      </c>
      <c r="L7" s="10">
        <v>3.2467000000000003E-2</v>
      </c>
      <c r="M7" s="10">
        <v>0.1157724</v>
      </c>
      <c r="N7" s="10">
        <v>0.27201799999999998</v>
      </c>
      <c r="O7" s="10">
        <v>0.48859279999999999</v>
      </c>
      <c r="P7" s="10">
        <v>0.77922200000000008</v>
      </c>
      <c r="Q7" s="10">
        <v>1.1653819999999999</v>
      </c>
    </row>
    <row r="8" spans="2:17" ht="16" thickBot="1">
      <c r="B8" s="7" t="s">
        <v>6</v>
      </c>
      <c r="C8" s="10">
        <f>AVERAGE(C3:C7)</f>
        <v>3.4328499999999998E-2</v>
      </c>
      <c r="D8" s="10">
        <f t="shared" ref="D8:I8" si="0">AVERAGE(D3:D7)</f>
        <v>3.1105899999999999E-2</v>
      </c>
      <c r="E8" s="10">
        <f t="shared" si="0"/>
        <v>2.2265979999999998E-2</v>
      </c>
      <c r="F8" s="10">
        <f t="shared" si="0"/>
        <v>2.437568E-2</v>
      </c>
      <c r="G8" s="10">
        <f t="shared" si="0"/>
        <v>3.2467000000000003E-2</v>
      </c>
      <c r="H8" s="10">
        <f t="shared" si="0"/>
        <v>1.6481600000000002E-2</v>
      </c>
      <c r="I8" s="10">
        <f t="shared" si="0"/>
        <v>3.007278E-2</v>
      </c>
      <c r="K8" s="1">
        <v>36</v>
      </c>
      <c r="L8" s="10">
        <v>1.6481600000000002E-2</v>
      </c>
      <c r="M8" s="10">
        <v>6.2084059999999996E-2</v>
      </c>
      <c r="N8" s="10">
        <v>0.14161180000000001</v>
      </c>
      <c r="O8" s="10">
        <v>0.24460019999999999</v>
      </c>
      <c r="P8" s="10">
        <v>0.40187279999999992</v>
      </c>
      <c r="Q8" s="10">
        <v>0.59927140000000001</v>
      </c>
    </row>
    <row r="9" spans="2:17" ht="16" thickBot="1">
      <c r="B9" s="7" t="s">
        <v>7</v>
      </c>
      <c r="C9" s="8">
        <f>$C$8/C8</f>
        <v>1</v>
      </c>
      <c r="D9" s="8">
        <f t="shared" ref="D9:I9" si="1">$C$8/D8</f>
        <v>1.1036009245834391</v>
      </c>
      <c r="E9" s="8">
        <f t="shared" si="1"/>
        <v>1.5417466466780263</v>
      </c>
      <c r="F9" s="8">
        <f t="shared" si="1"/>
        <v>1.4083094297266783</v>
      </c>
      <c r="G9" s="8">
        <f t="shared" si="1"/>
        <v>1.0573351402963007</v>
      </c>
      <c r="H9" s="8">
        <f t="shared" si="1"/>
        <v>2.0828378312785163</v>
      </c>
      <c r="I9" s="8">
        <f t="shared" si="1"/>
        <v>1.1415140203200369</v>
      </c>
      <c r="K9" s="1">
        <v>49</v>
      </c>
      <c r="L9" s="10">
        <v>3.007278E-2</v>
      </c>
      <c r="M9" s="10">
        <v>0.11783780000000002</v>
      </c>
      <c r="N9" s="10">
        <v>0.25331939999999997</v>
      </c>
      <c r="O9" s="10">
        <v>0.4653333999999999</v>
      </c>
      <c r="P9" s="10">
        <v>0.71648659999999997</v>
      </c>
      <c r="Q9" s="10">
        <v>1.0500200000000002</v>
      </c>
    </row>
    <row r="10" spans="2:17" ht="16" thickBot="1">
      <c r="B10" s="7" t="s">
        <v>8</v>
      </c>
      <c r="C10" s="9">
        <f>C9/C2</f>
        <v>1</v>
      </c>
      <c r="D10" s="9">
        <f t="shared" ref="D10:I10" si="2">D9/D2</f>
        <v>0.27590023114585976</v>
      </c>
      <c r="E10" s="9">
        <f t="shared" si="2"/>
        <v>0.17130518296422514</v>
      </c>
      <c r="F10" s="9">
        <f t="shared" si="2"/>
        <v>8.8019339357917392E-2</v>
      </c>
      <c r="G10" s="9">
        <f t="shared" si="2"/>
        <v>4.2293405611852027E-2</v>
      </c>
      <c r="H10" s="9">
        <f t="shared" si="2"/>
        <v>5.7856606424403233E-2</v>
      </c>
      <c r="I10" s="9">
        <f t="shared" si="2"/>
        <v>2.3296204496327282E-2</v>
      </c>
    </row>
    <row r="11" spans="2:17" ht="16" thickBot="1"/>
    <row r="12" spans="2:17" ht="16" thickBot="1">
      <c r="B12" s="3" t="s">
        <v>1</v>
      </c>
      <c r="C12" s="1">
        <v>1</v>
      </c>
      <c r="D12" s="1">
        <v>4</v>
      </c>
      <c r="E12" s="1">
        <v>9</v>
      </c>
      <c r="F12" s="1">
        <v>16</v>
      </c>
      <c r="G12" s="1">
        <v>25</v>
      </c>
      <c r="H12" s="1">
        <v>36</v>
      </c>
      <c r="I12" s="1">
        <v>49</v>
      </c>
      <c r="L12" s="7" t="s">
        <v>0</v>
      </c>
      <c r="M12" s="7" t="s">
        <v>1</v>
      </c>
      <c r="N12" s="7" t="s">
        <v>2</v>
      </c>
      <c r="O12" s="7" t="s">
        <v>3</v>
      </c>
      <c r="P12" s="7" t="s">
        <v>4</v>
      </c>
      <c r="Q12" s="7" t="s">
        <v>5</v>
      </c>
    </row>
    <row r="13" spans="2:17" ht="16" thickBot="1">
      <c r="C13" s="1">
        <v>0.26167299999999999</v>
      </c>
      <c r="D13" s="2">
        <v>0.12548899999999999</v>
      </c>
      <c r="E13" s="2">
        <v>0.101734</v>
      </c>
      <c r="F13" s="2">
        <v>0.103321</v>
      </c>
      <c r="G13" s="2">
        <v>0.112612</v>
      </c>
      <c r="H13" s="2">
        <v>6.00522E-2</v>
      </c>
      <c r="I13" s="2">
        <v>0.12116</v>
      </c>
      <c r="K13" s="1">
        <v>1</v>
      </c>
      <c r="L13" s="8" cm="1">
        <f t="array" ref="L13:L19">TRANSPOSE(C9:I9)</f>
        <v>1</v>
      </c>
      <c r="M13" s="8" cm="1">
        <f t="array" ref="M13:M19">TRANSPOSE(C19:I19)</f>
        <v>1</v>
      </c>
      <c r="N13" s="8" cm="1">
        <f t="array" ref="N13:N19">TRANSPOSE(C29:I29)</f>
        <v>1</v>
      </c>
      <c r="O13" s="8" cm="1">
        <f t="array" ref="O13:O19">TRANSPOSE(C39:I39)</f>
        <v>1</v>
      </c>
      <c r="P13" s="8" cm="1">
        <f t="array" ref="P13:P19">TRANSPOSE(C49:I49)</f>
        <v>1</v>
      </c>
      <c r="Q13" s="8" cm="1">
        <f t="array" ref="Q13:Q19">TRANSPOSE(C59:I59)</f>
        <v>1</v>
      </c>
    </row>
    <row r="14" spans="2:17" ht="16" thickBot="1">
      <c r="C14" s="1">
        <v>0.26147399999999998</v>
      </c>
      <c r="D14" s="2">
        <v>0.14511299999999999</v>
      </c>
      <c r="E14" s="2">
        <v>9.9067199999999994E-2</v>
      </c>
      <c r="F14" s="2">
        <v>0.106298</v>
      </c>
      <c r="G14" s="2">
        <v>0.11856800000000001</v>
      </c>
      <c r="H14" s="2">
        <v>6.5449400000000005E-2</v>
      </c>
      <c r="I14" s="2">
        <v>0.11551599999999999</v>
      </c>
      <c r="K14" s="1">
        <v>4</v>
      </c>
      <c r="L14" s="8">
        <v>1.1036009245834391</v>
      </c>
      <c r="M14" s="8">
        <v>1.9174655392371547</v>
      </c>
      <c r="N14" s="8">
        <v>2.5955941962737534</v>
      </c>
      <c r="O14" s="8">
        <v>6.2589358850249459</v>
      </c>
      <c r="P14" s="8">
        <v>11.278186268729923</v>
      </c>
      <c r="Q14" s="8">
        <v>10.660244889186162</v>
      </c>
    </row>
    <row r="15" spans="2:17" ht="16" thickBot="1">
      <c r="C15" s="1">
        <v>0.26151400000000002</v>
      </c>
      <c r="D15" s="2">
        <v>0.13807900000000001</v>
      </c>
      <c r="E15" s="2">
        <v>0.10056900000000001</v>
      </c>
      <c r="F15" s="2">
        <v>0.10353900000000001</v>
      </c>
      <c r="G15" s="2">
        <v>0.113013</v>
      </c>
      <c r="H15" s="2">
        <v>6.2806100000000004E-2</v>
      </c>
      <c r="I15" s="2">
        <v>0.118982</v>
      </c>
      <c r="K15" s="1">
        <v>9</v>
      </c>
      <c r="L15" s="8">
        <v>1.5417466466780263</v>
      </c>
      <c r="M15" s="8">
        <v>2.6036385231668313</v>
      </c>
      <c r="N15" s="8">
        <v>4.0915363397770719</v>
      </c>
      <c r="O15" s="8">
        <v>12.200519929653908</v>
      </c>
      <c r="P15" s="8">
        <v>25.113910437541055</v>
      </c>
      <c r="Q15" s="8">
        <v>24.988001007650194</v>
      </c>
    </row>
    <row r="16" spans="2:17" ht="16" thickBot="1">
      <c r="C16" s="1">
        <v>0.26244600000000001</v>
      </c>
      <c r="D16" s="2">
        <v>0.13748199999999999</v>
      </c>
      <c r="E16" s="2">
        <v>0.10889799999999999</v>
      </c>
      <c r="F16" s="2">
        <v>0.110372</v>
      </c>
      <c r="G16" s="2">
        <v>0.11844499999999999</v>
      </c>
      <c r="H16" s="2">
        <v>6.0171299999999997E-2</v>
      </c>
      <c r="I16" s="2">
        <v>0.11429400000000001</v>
      </c>
      <c r="K16" s="1">
        <v>16</v>
      </c>
      <c r="L16" s="8">
        <v>1.4083094297266783</v>
      </c>
      <c r="M16" s="8">
        <v>2.468760430947833</v>
      </c>
      <c r="N16" s="8">
        <v>3.8450460597771432</v>
      </c>
      <c r="O16" s="8">
        <v>12.708525679855375</v>
      </c>
      <c r="P16" s="8">
        <v>26.889554333366689</v>
      </c>
      <c r="Q16" s="8">
        <v>27.408547946998446</v>
      </c>
    </row>
    <row r="17" spans="2:17" ht="16" thickBot="1">
      <c r="C17" s="1">
        <v>0.26201000000000002</v>
      </c>
      <c r="D17" s="2">
        <v>0.13657</v>
      </c>
      <c r="E17" s="2">
        <v>9.2534699999999998E-2</v>
      </c>
      <c r="F17" s="2">
        <v>0.106743</v>
      </c>
      <c r="G17" s="2">
        <v>0.11622399999999999</v>
      </c>
      <c r="H17" s="2">
        <v>6.1941299999999998E-2</v>
      </c>
      <c r="I17" s="2">
        <v>0.119237</v>
      </c>
      <c r="K17" s="1">
        <v>25</v>
      </c>
      <c r="L17" s="8">
        <v>1.0573351402963007</v>
      </c>
      <c r="M17" s="8">
        <v>2.2615355646077999</v>
      </c>
      <c r="N17" s="8">
        <v>3.3733297061223895</v>
      </c>
      <c r="O17" s="8">
        <v>11.00974062655037</v>
      </c>
      <c r="P17" s="8">
        <v>24.550436204316608</v>
      </c>
      <c r="Q17" s="8">
        <v>25.875395363923595</v>
      </c>
    </row>
    <row r="18" spans="2:17" ht="16" thickBot="1">
      <c r="B18" s="7" t="s">
        <v>6</v>
      </c>
      <c r="C18" s="4">
        <f>AVERAGE(C13:C17)</f>
        <v>0.26182340000000004</v>
      </c>
      <c r="D18" s="4">
        <f t="shared" ref="D18:I18" si="3">AVERAGE(D13:D17)</f>
        <v>0.13654659999999999</v>
      </c>
      <c r="E18" s="4">
        <f t="shared" si="3"/>
        <v>0.10056058000000001</v>
      </c>
      <c r="F18" s="4">
        <f t="shared" si="3"/>
        <v>0.1060546</v>
      </c>
      <c r="G18" s="4">
        <f t="shared" si="3"/>
        <v>0.1157724</v>
      </c>
      <c r="H18" s="4">
        <f t="shared" si="3"/>
        <v>6.2084059999999996E-2</v>
      </c>
      <c r="I18" s="4">
        <f t="shared" si="3"/>
        <v>0.11783780000000002</v>
      </c>
      <c r="K18" s="1">
        <v>36</v>
      </c>
      <c r="L18" s="8">
        <v>2.0828378312785163</v>
      </c>
      <c r="M18" s="8">
        <v>4.2172403029054486</v>
      </c>
      <c r="N18" s="8">
        <v>6.479731208839941</v>
      </c>
      <c r="O18" s="8">
        <v>21.992132467594057</v>
      </c>
      <c r="P18" s="8">
        <v>47.602724046016554</v>
      </c>
      <c r="Q18" s="8">
        <v>50.318970670050341</v>
      </c>
    </row>
    <row r="19" spans="2:17" ht="16" thickBot="1">
      <c r="B19" s="7" t="s">
        <v>7</v>
      </c>
      <c r="C19" s="8">
        <f>$C$18/C18</f>
        <v>1</v>
      </c>
      <c r="D19" s="8">
        <f t="shared" ref="D19:I19" si="4">$C$18/D18</f>
        <v>1.9174655392371547</v>
      </c>
      <c r="E19" s="8">
        <f t="shared" si="4"/>
        <v>2.6036385231668313</v>
      </c>
      <c r="F19" s="8">
        <f t="shared" si="4"/>
        <v>2.468760430947833</v>
      </c>
      <c r="G19" s="8">
        <f t="shared" si="4"/>
        <v>2.2615355646077999</v>
      </c>
      <c r="H19" s="8">
        <f t="shared" si="4"/>
        <v>4.2172403029054486</v>
      </c>
      <c r="I19" s="8">
        <f t="shared" si="4"/>
        <v>2.2218965391410905</v>
      </c>
      <c r="K19" s="1">
        <v>49</v>
      </c>
      <c r="L19" s="8">
        <v>1.1415140203200369</v>
      </c>
      <c r="M19" s="8">
        <v>2.2218965391410905</v>
      </c>
      <c r="N19" s="8">
        <v>3.6223297544522848</v>
      </c>
      <c r="O19" s="8">
        <v>11.560055650421829</v>
      </c>
      <c r="P19" s="8">
        <v>26.700066686522817</v>
      </c>
      <c r="Q19" s="8">
        <v>28.718233938401173</v>
      </c>
    </row>
    <row r="20" spans="2:17" ht="16" thickBot="1">
      <c r="B20" s="7" t="s">
        <v>8</v>
      </c>
      <c r="C20" s="9">
        <f t="shared" ref="C20:I20" si="5">C19/C12</f>
        <v>1</v>
      </c>
      <c r="D20" s="9">
        <f t="shared" si="5"/>
        <v>0.47936638480928867</v>
      </c>
      <c r="E20" s="9">
        <f t="shared" si="5"/>
        <v>0.28929316924075904</v>
      </c>
      <c r="F20" s="9">
        <f t="shared" si="5"/>
        <v>0.15429752693423956</v>
      </c>
      <c r="G20" s="9">
        <f t="shared" si="5"/>
        <v>9.0461422584312001E-2</v>
      </c>
      <c r="H20" s="9">
        <f t="shared" si="5"/>
        <v>0.1171455639695958</v>
      </c>
      <c r="I20" s="9">
        <f t="shared" si="5"/>
        <v>4.534482732941001E-2</v>
      </c>
    </row>
    <row r="21" spans="2:17" ht="16" thickBot="1"/>
    <row r="22" spans="2:17" ht="16" thickBot="1">
      <c r="B22" s="3" t="s">
        <v>2</v>
      </c>
      <c r="C22" s="1">
        <v>1</v>
      </c>
      <c r="D22" s="1">
        <v>4</v>
      </c>
      <c r="E22" s="1">
        <v>9</v>
      </c>
      <c r="F22" s="1">
        <v>16</v>
      </c>
      <c r="G22" s="1">
        <v>25</v>
      </c>
      <c r="H22" s="1">
        <v>36</v>
      </c>
      <c r="I22" s="1">
        <v>49</v>
      </c>
      <c r="L22" s="7" t="s">
        <v>0</v>
      </c>
      <c r="M22" s="7" t="s">
        <v>1</v>
      </c>
      <c r="N22" s="7" t="s">
        <v>2</v>
      </c>
      <c r="O22" s="7" t="s">
        <v>3</v>
      </c>
      <c r="P22" s="7" t="s">
        <v>4</v>
      </c>
      <c r="Q22" s="7" t="s">
        <v>5</v>
      </c>
    </row>
    <row r="23" spans="2:17" ht="16" thickBot="1">
      <c r="C23" s="1">
        <v>0.93135599999999996</v>
      </c>
      <c r="D23" s="2">
        <v>0.36082999999999998</v>
      </c>
      <c r="E23" s="2">
        <v>0.215308</v>
      </c>
      <c r="F23" s="2">
        <v>0.23749400000000001</v>
      </c>
      <c r="G23" s="2">
        <v>0.27094699999999999</v>
      </c>
      <c r="H23" s="2">
        <v>0.150343</v>
      </c>
      <c r="I23" s="2">
        <v>0.25216100000000002</v>
      </c>
      <c r="K23" s="1">
        <v>1</v>
      </c>
      <c r="L23" s="9" cm="1">
        <f t="array" ref="L23:L29">TRANSPOSE(C10:I10)</f>
        <v>1</v>
      </c>
      <c r="M23" s="9" cm="1">
        <f t="array" ref="M23:M29">TRANSPOSE(C20:I20)</f>
        <v>1</v>
      </c>
      <c r="N23" s="9" cm="1">
        <f t="array" ref="N23:N29">TRANSPOSE(C30:I30)</f>
        <v>1</v>
      </c>
      <c r="O23" s="9" cm="1">
        <f t="array" ref="O23:O29">TRANSPOSE(C40:I40)</f>
        <v>1</v>
      </c>
      <c r="P23" s="9" cm="1">
        <f t="array" ref="P23:P29">TRANSPOSE(C50:I50)</f>
        <v>1</v>
      </c>
      <c r="Q23" s="9" cm="1">
        <f t="array" ref="Q23:Q29">TRANSPOSE(C60:I60)</f>
        <v>1</v>
      </c>
    </row>
    <row r="24" spans="2:17" ht="16" thickBot="1">
      <c r="C24" s="1">
        <v>0.92878799999999995</v>
      </c>
      <c r="D24" s="2">
        <v>0.37257200000000001</v>
      </c>
      <c r="E24" s="2">
        <v>0.223444</v>
      </c>
      <c r="F24" s="2">
        <v>0.243258</v>
      </c>
      <c r="G24" s="2">
        <v>0.26832800000000001</v>
      </c>
      <c r="H24" s="2">
        <v>0.13376199999999999</v>
      </c>
      <c r="I24" s="2">
        <v>0.25012800000000002</v>
      </c>
      <c r="K24" s="1">
        <v>4</v>
      </c>
      <c r="L24" s="9">
        <v>0.27590023114585976</v>
      </c>
      <c r="M24" s="9">
        <v>0.47936638480928867</v>
      </c>
      <c r="N24" s="9">
        <v>0.64889854906843836</v>
      </c>
      <c r="O24" s="9">
        <v>1.5647339712562365</v>
      </c>
      <c r="P24" s="9">
        <v>2.8195465671824809</v>
      </c>
      <c r="Q24" s="9">
        <v>2.6650612222965404</v>
      </c>
    </row>
    <row r="25" spans="2:17" ht="16" thickBot="1">
      <c r="C25" s="1">
        <v>0.89859299999999998</v>
      </c>
      <c r="D25" s="2">
        <v>0.33589400000000003</v>
      </c>
      <c r="E25" s="2">
        <v>0.22300700000000001</v>
      </c>
      <c r="F25" s="2">
        <v>0.24041199999999999</v>
      </c>
      <c r="G25" s="2">
        <v>0.27599400000000002</v>
      </c>
      <c r="H25" s="2">
        <v>0.14227300000000001</v>
      </c>
      <c r="I25" s="2">
        <v>0.26422499999999999</v>
      </c>
      <c r="K25" s="1">
        <v>9</v>
      </c>
      <c r="L25" s="9">
        <v>0.17130518296422514</v>
      </c>
      <c r="M25" s="9">
        <v>0.28929316924075904</v>
      </c>
      <c r="N25" s="9">
        <v>0.45461514886411908</v>
      </c>
      <c r="O25" s="9">
        <v>1.3556133255171008</v>
      </c>
      <c r="P25" s="9">
        <v>2.790434493060117</v>
      </c>
      <c r="Q25" s="9">
        <v>2.7764445564055773</v>
      </c>
    </row>
    <row r="26" spans="2:17" ht="16" thickBot="1">
      <c r="C26" s="1">
        <v>0.92990399999999995</v>
      </c>
      <c r="D26" s="2">
        <v>0.36071399999999998</v>
      </c>
      <c r="E26" s="2">
        <v>0.232656</v>
      </c>
      <c r="F26" s="2">
        <v>0.24410599999999999</v>
      </c>
      <c r="G26" s="2">
        <v>0.27576099999999998</v>
      </c>
      <c r="H26" s="2">
        <v>0.136628</v>
      </c>
      <c r="I26" s="2">
        <v>0.25699699999999998</v>
      </c>
      <c r="K26" s="1">
        <v>16</v>
      </c>
      <c r="L26" s="9">
        <v>8.8019339357917392E-2</v>
      </c>
      <c r="M26" s="9">
        <v>0.15429752693423956</v>
      </c>
      <c r="N26" s="9">
        <v>0.24031537873607145</v>
      </c>
      <c r="O26" s="9">
        <v>0.79428285499096096</v>
      </c>
      <c r="P26" s="9">
        <v>1.6805971458354181</v>
      </c>
      <c r="Q26" s="9">
        <v>1.7130342466874029</v>
      </c>
    </row>
    <row r="27" spans="2:17" ht="16" thickBot="1">
      <c r="C27" s="1">
        <v>0.89939100000000005</v>
      </c>
      <c r="D27" s="2">
        <v>0.337613</v>
      </c>
      <c r="E27" s="2">
        <v>0.22693199999999999</v>
      </c>
      <c r="F27" s="2">
        <v>0.227962</v>
      </c>
      <c r="G27" s="2">
        <v>0.26906000000000002</v>
      </c>
      <c r="H27" s="2">
        <v>0.14505299999999999</v>
      </c>
      <c r="I27" s="2">
        <v>0.243086</v>
      </c>
      <c r="K27" s="1">
        <v>25</v>
      </c>
      <c r="L27" s="9">
        <v>4.2293405611852027E-2</v>
      </c>
      <c r="M27" s="9">
        <v>9.0461422584312001E-2</v>
      </c>
      <c r="N27" s="9">
        <v>0.13493318824489559</v>
      </c>
      <c r="O27" s="9">
        <v>0.44038962506201479</v>
      </c>
      <c r="P27" s="9">
        <v>0.98201744817266434</v>
      </c>
      <c r="Q27" s="9">
        <v>1.0350158145569437</v>
      </c>
    </row>
    <row r="28" spans="2:17" ht="16" thickBot="1">
      <c r="B28" s="7" t="s">
        <v>6</v>
      </c>
      <c r="C28" s="4">
        <f>AVERAGE(C23:C27)</f>
        <v>0.91760640000000004</v>
      </c>
      <c r="D28" s="4">
        <f t="shared" ref="D28:I28" si="6">AVERAGE(D23:D27)</f>
        <v>0.35352459999999997</v>
      </c>
      <c r="E28" s="4">
        <f t="shared" si="6"/>
        <v>0.22426939999999998</v>
      </c>
      <c r="F28" s="4">
        <f t="shared" si="6"/>
        <v>0.23864640000000001</v>
      </c>
      <c r="G28" s="4">
        <f t="shared" si="6"/>
        <v>0.27201799999999998</v>
      </c>
      <c r="H28" s="4">
        <f t="shared" si="6"/>
        <v>0.14161180000000001</v>
      </c>
      <c r="I28" s="4">
        <f t="shared" si="6"/>
        <v>0.25331939999999997</v>
      </c>
      <c r="K28" s="1">
        <v>36</v>
      </c>
      <c r="L28" s="9">
        <v>5.7856606424403233E-2</v>
      </c>
      <c r="M28" s="9">
        <v>0.1171455639695958</v>
      </c>
      <c r="N28" s="9">
        <v>0.17999253357888725</v>
      </c>
      <c r="O28" s="9">
        <v>0.61089256854427942</v>
      </c>
      <c r="P28" s="9">
        <v>1.3222978901671265</v>
      </c>
      <c r="Q28" s="9">
        <v>1.3977491852791761</v>
      </c>
    </row>
    <row r="29" spans="2:17" ht="16" thickBot="1">
      <c r="B29" s="7" t="s">
        <v>7</v>
      </c>
      <c r="C29" s="8">
        <f>$C$28/C28</f>
        <v>1</v>
      </c>
      <c r="D29" s="8">
        <f t="shared" ref="D29:H29" si="7">$C$28/D28</f>
        <v>2.5955941962737534</v>
      </c>
      <c r="E29" s="8">
        <f t="shared" si="7"/>
        <v>4.0915363397770719</v>
      </c>
      <c r="F29" s="8">
        <f t="shared" si="7"/>
        <v>3.8450460597771432</v>
      </c>
      <c r="G29" s="8">
        <f t="shared" si="7"/>
        <v>3.3733297061223895</v>
      </c>
      <c r="H29" s="8">
        <f t="shared" si="7"/>
        <v>6.479731208839941</v>
      </c>
      <c r="I29" s="8">
        <f>$C$28/I28</f>
        <v>3.6223297544522848</v>
      </c>
      <c r="K29" s="1">
        <v>49</v>
      </c>
      <c r="L29" s="9">
        <v>2.3296204496327282E-2</v>
      </c>
      <c r="M29" s="9">
        <v>4.534482732941001E-2</v>
      </c>
      <c r="N29" s="9">
        <v>7.3925097029638467E-2</v>
      </c>
      <c r="O29" s="9">
        <v>0.23591950306983323</v>
      </c>
      <c r="P29" s="9">
        <v>0.5448993201331187</v>
      </c>
      <c r="Q29" s="9">
        <v>0.58608640690614644</v>
      </c>
    </row>
    <row r="30" spans="2:17" ht="16" thickBot="1">
      <c r="B30" s="7" t="s">
        <v>8</v>
      </c>
      <c r="C30" s="9">
        <f>C29/C22</f>
        <v>1</v>
      </c>
      <c r="D30" s="9">
        <f t="shared" ref="D30" si="8">D29/D22</f>
        <v>0.64889854906843836</v>
      </c>
      <c r="E30" s="9">
        <f t="shared" ref="E30" si="9">E29/E22</f>
        <v>0.45461514886411908</v>
      </c>
      <c r="F30" s="9">
        <f t="shared" ref="F30" si="10">F29/F22</f>
        <v>0.24031537873607145</v>
      </c>
      <c r="G30" s="9">
        <f t="shared" ref="G30" si="11">G29/G22</f>
        <v>0.13493318824489559</v>
      </c>
      <c r="H30" s="9">
        <f t="shared" ref="H30" si="12">H29/H22</f>
        <v>0.17999253357888725</v>
      </c>
      <c r="I30" s="9">
        <f t="shared" ref="I30" si="13">I29/I22</f>
        <v>7.3925097029638467E-2</v>
      </c>
      <c r="L30" s="6"/>
    </row>
    <row r="31" spans="2:17" ht="16" thickBot="1"/>
    <row r="32" spans="2:17" ht="16" thickBot="1">
      <c r="B32" s="3" t="s">
        <v>3</v>
      </c>
      <c r="C32" s="1">
        <v>1</v>
      </c>
      <c r="D32" s="1">
        <v>4</v>
      </c>
      <c r="E32" s="1">
        <v>9</v>
      </c>
      <c r="F32" s="1">
        <v>16</v>
      </c>
      <c r="G32" s="1">
        <v>25</v>
      </c>
      <c r="H32" s="1">
        <v>36</v>
      </c>
      <c r="I32" s="1">
        <v>49</v>
      </c>
    </row>
    <row r="33" spans="2:9" ht="16" thickBot="1">
      <c r="C33" s="1">
        <v>5.3668399999999998</v>
      </c>
      <c r="D33" s="2">
        <v>1.08786</v>
      </c>
      <c r="E33" s="2">
        <v>0.39796900000000002</v>
      </c>
      <c r="F33" s="2">
        <v>0.42545300000000003</v>
      </c>
      <c r="G33" s="2">
        <v>0.499172</v>
      </c>
      <c r="H33" s="2">
        <v>0.22978100000000001</v>
      </c>
      <c r="I33" s="2">
        <v>0.45094000000000001</v>
      </c>
    </row>
    <row r="34" spans="2:9" ht="16" thickBot="1">
      <c r="C34" s="1">
        <v>5.0640000000000001</v>
      </c>
      <c r="D34" s="2">
        <v>0.77688999999999997</v>
      </c>
      <c r="E34" s="2">
        <v>0.45034099999999999</v>
      </c>
      <c r="F34" s="2">
        <v>0.43212800000000001</v>
      </c>
      <c r="G34" s="2">
        <v>0.47087800000000002</v>
      </c>
      <c r="H34" s="2">
        <v>0.24413099999999999</v>
      </c>
      <c r="I34" s="2">
        <v>0.45902999999999999</v>
      </c>
    </row>
    <row r="35" spans="2:9" ht="16" thickBot="1">
      <c r="C35" s="1">
        <v>5.5256600000000002</v>
      </c>
      <c r="D35" s="2">
        <v>0.84938000000000002</v>
      </c>
      <c r="E35" s="2">
        <v>0.46181800000000001</v>
      </c>
      <c r="F35" s="2">
        <v>0.43103900000000001</v>
      </c>
      <c r="G35" s="2">
        <v>0.47393200000000002</v>
      </c>
      <c r="H35" s="2">
        <v>0.25028400000000001</v>
      </c>
      <c r="I35" s="2">
        <v>0.455814</v>
      </c>
    </row>
    <row r="36" spans="2:9" ht="16" thickBot="1">
      <c r="C36" s="1">
        <v>5.4157500000000001</v>
      </c>
      <c r="D36" s="2">
        <v>0.75542500000000001</v>
      </c>
      <c r="E36" s="2">
        <v>0.44930500000000001</v>
      </c>
      <c r="F36" s="2">
        <v>0.41591600000000001</v>
      </c>
      <c r="G36" s="2">
        <v>0.50250499999999998</v>
      </c>
      <c r="H36" s="2">
        <v>0.24366699999999999</v>
      </c>
      <c r="I36" s="2">
        <v>0.50204700000000002</v>
      </c>
    </row>
    <row r="37" spans="2:9" ht="16" thickBot="1">
      <c r="C37" s="1">
        <v>5.5241499999999997</v>
      </c>
      <c r="D37" s="2">
        <v>0.82772500000000004</v>
      </c>
      <c r="E37" s="2">
        <v>0.44509599999999999</v>
      </c>
      <c r="F37" s="2">
        <v>0.41187000000000001</v>
      </c>
      <c r="G37" s="2">
        <v>0.496477</v>
      </c>
      <c r="H37" s="2">
        <v>0.25513799999999998</v>
      </c>
      <c r="I37" s="2">
        <v>0.45883600000000002</v>
      </c>
    </row>
    <row r="38" spans="2:9" ht="16" thickBot="1">
      <c r="B38" s="7" t="s">
        <v>6</v>
      </c>
      <c r="C38" s="4">
        <f>AVERAGE(C33:C37)</f>
        <v>5.3792799999999996</v>
      </c>
      <c r="D38" s="4">
        <f t="shared" ref="D38:I38" si="14">AVERAGE(D33:D37)</f>
        <v>0.859456</v>
      </c>
      <c r="E38" s="4">
        <f t="shared" si="14"/>
        <v>0.44090580000000001</v>
      </c>
      <c r="F38" s="4">
        <f t="shared" si="14"/>
        <v>0.42328120000000002</v>
      </c>
      <c r="G38" s="4">
        <f t="shared" si="14"/>
        <v>0.48859279999999999</v>
      </c>
      <c r="H38" s="4">
        <f t="shared" si="14"/>
        <v>0.24460019999999999</v>
      </c>
      <c r="I38" s="4">
        <f t="shared" si="14"/>
        <v>0.4653333999999999</v>
      </c>
    </row>
    <row r="39" spans="2:9" ht="16" thickBot="1">
      <c r="B39" s="7" t="s">
        <v>7</v>
      </c>
      <c r="C39" s="8">
        <f>$C$38/C38</f>
        <v>1</v>
      </c>
      <c r="D39" s="8">
        <f t="shared" ref="D39:I39" si="15">$C$38/D38</f>
        <v>6.2589358850249459</v>
      </c>
      <c r="E39" s="8">
        <f t="shared" si="15"/>
        <v>12.200519929653908</v>
      </c>
      <c r="F39" s="8">
        <f t="shared" si="15"/>
        <v>12.708525679855375</v>
      </c>
      <c r="G39" s="8">
        <f t="shared" si="15"/>
        <v>11.00974062655037</v>
      </c>
      <c r="H39" s="8">
        <f t="shared" si="15"/>
        <v>21.992132467594057</v>
      </c>
      <c r="I39" s="8">
        <f t="shared" si="15"/>
        <v>11.560055650421829</v>
      </c>
    </row>
    <row r="40" spans="2:9" ht="16" thickBot="1">
      <c r="B40" s="7" t="s">
        <v>8</v>
      </c>
      <c r="C40" s="9">
        <f>C39/C32</f>
        <v>1</v>
      </c>
      <c r="D40" s="9">
        <f t="shared" ref="D40" si="16">D39/D32</f>
        <v>1.5647339712562365</v>
      </c>
      <c r="E40" s="9">
        <f t="shared" ref="E40" si="17">E39/E32</f>
        <v>1.3556133255171008</v>
      </c>
      <c r="F40" s="9">
        <f t="shared" ref="F40" si="18">F39/F32</f>
        <v>0.79428285499096096</v>
      </c>
      <c r="G40" s="9">
        <f t="shared" ref="G40" si="19">G39/G32</f>
        <v>0.44038962506201479</v>
      </c>
      <c r="H40" s="9">
        <f t="shared" ref="H40" si="20">H39/H32</f>
        <v>0.61089256854427942</v>
      </c>
      <c r="I40" s="9">
        <f t="shared" ref="I40" si="21">I39/I32</f>
        <v>0.23591950306983323</v>
      </c>
    </row>
    <row r="41" spans="2:9" ht="16" thickBot="1"/>
    <row r="42" spans="2:9" ht="16" thickBot="1">
      <c r="B42" s="3" t="s">
        <v>4</v>
      </c>
      <c r="C42" s="1">
        <v>1</v>
      </c>
      <c r="D42" s="1">
        <v>4</v>
      </c>
      <c r="E42" s="1">
        <v>9</v>
      </c>
      <c r="F42" s="1">
        <v>16</v>
      </c>
      <c r="G42" s="1">
        <v>25</v>
      </c>
      <c r="H42" s="1">
        <v>36</v>
      </c>
      <c r="I42" s="1">
        <v>49</v>
      </c>
    </row>
    <row r="43" spans="2:9" ht="16" thickBot="1">
      <c r="C43" s="1">
        <v>16.882200000000001</v>
      </c>
      <c r="D43" s="2">
        <v>1.45079</v>
      </c>
      <c r="E43" s="2">
        <v>0.696932</v>
      </c>
      <c r="F43" s="2">
        <v>0.71283200000000002</v>
      </c>
      <c r="G43" s="2">
        <v>0.75711600000000001</v>
      </c>
      <c r="H43" s="2">
        <v>0.39674399999999999</v>
      </c>
      <c r="I43" s="2">
        <v>0.71004800000000001</v>
      </c>
    </row>
    <row r="44" spans="2:9" ht="16" thickBot="1">
      <c r="C44" s="1">
        <v>19.907499999999999</v>
      </c>
      <c r="D44" s="2">
        <v>1.48495</v>
      </c>
      <c r="E44" s="2">
        <v>0.79183999999999999</v>
      </c>
      <c r="F44" s="2">
        <v>0.66433699999999996</v>
      </c>
      <c r="G44" s="2">
        <v>0.77398500000000003</v>
      </c>
      <c r="H44" s="2">
        <v>0.41525800000000002</v>
      </c>
      <c r="I44" s="2">
        <v>0.733788</v>
      </c>
    </row>
    <row r="45" spans="2:9" ht="16" thickBot="1">
      <c r="C45" s="1">
        <v>19.4542</v>
      </c>
      <c r="D45" s="2">
        <v>1.46025</v>
      </c>
      <c r="E45" s="2">
        <v>0.78078499999999995</v>
      </c>
      <c r="F45" s="2">
        <v>0.72646100000000002</v>
      </c>
      <c r="G45" s="2">
        <v>0.75504499999999997</v>
      </c>
      <c r="H45" s="2">
        <v>0.40437400000000001</v>
      </c>
      <c r="I45" s="2">
        <v>0.70508300000000002</v>
      </c>
    </row>
    <row r="46" spans="2:9" ht="16" thickBot="1">
      <c r="C46" s="1">
        <v>18.157900000000001</v>
      </c>
      <c r="D46" s="2">
        <v>2.0347400000000002</v>
      </c>
      <c r="E46" s="2">
        <v>0.76836599999999999</v>
      </c>
      <c r="F46" s="2">
        <v>0.74447099999999999</v>
      </c>
      <c r="G46" s="2">
        <v>0.77466999999999997</v>
      </c>
      <c r="H46" s="2">
        <v>0.414545</v>
      </c>
      <c r="I46" s="2">
        <v>0.70171899999999998</v>
      </c>
    </row>
    <row r="47" spans="2:9" ht="16" thickBot="1">
      <c r="C47" s="1">
        <v>21.249400000000001</v>
      </c>
      <c r="D47" s="2">
        <v>2.0503499999999999</v>
      </c>
      <c r="E47" s="2">
        <v>0.77077099999999998</v>
      </c>
      <c r="F47" s="2">
        <v>0.70908700000000002</v>
      </c>
      <c r="G47" s="2">
        <v>0.83529399999999998</v>
      </c>
      <c r="H47" s="2">
        <v>0.37844299999999997</v>
      </c>
      <c r="I47" s="2">
        <v>0.73179499999999997</v>
      </c>
    </row>
    <row r="48" spans="2:9" ht="16" thickBot="1">
      <c r="B48" s="7" t="s">
        <v>6</v>
      </c>
      <c r="C48" s="4">
        <f>AVERAGE(C43:C47)</f>
        <v>19.130239999999997</v>
      </c>
      <c r="D48" s="4">
        <f t="shared" ref="D48:I48" si="22">AVERAGE(D43:D47)</f>
        <v>1.6962160000000002</v>
      </c>
      <c r="E48" s="4">
        <f t="shared" si="22"/>
        <v>0.76173879999999994</v>
      </c>
      <c r="F48" s="4">
        <f t="shared" si="22"/>
        <v>0.7114376</v>
      </c>
      <c r="G48" s="4">
        <f t="shared" si="22"/>
        <v>0.77922200000000008</v>
      </c>
      <c r="H48" s="4">
        <f t="shared" si="22"/>
        <v>0.40187279999999992</v>
      </c>
      <c r="I48" s="4">
        <f t="shared" si="22"/>
        <v>0.71648659999999997</v>
      </c>
    </row>
    <row r="49" spans="2:9" ht="16" thickBot="1">
      <c r="B49" s="7" t="s">
        <v>7</v>
      </c>
      <c r="C49" s="8">
        <f>$C$48/C48</f>
        <v>1</v>
      </c>
      <c r="D49" s="8">
        <f t="shared" ref="D49:I49" si="23">$C$48/D48</f>
        <v>11.278186268729923</v>
      </c>
      <c r="E49" s="8">
        <f t="shared" si="23"/>
        <v>25.113910437541055</v>
      </c>
      <c r="F49" s="8">
        <f t="shared" si="23"/>
        <v>26.889554333366689</v>
      </c>
      <c r="G49" s="8">
        <f t="shared" si="23"/>
        <v>24.550436204316608</v>
      </c>
      <c r="H49" s="8">
        <f t="shared" si="23"/>
        <v>47.602724046016554</v>
      </c>
      <c r="I49" s="8">
        <f t="shared" si="23"/>
        <v>26.700066686522817</v>
      </c>
    </row>
    <row r="50" spans="2:9" ht="16" thickBot="1">
      <c r="B50" s="7" t="s">
        <v>8</v>
      </c>
      <c r="C50" s="9">
        <f>C49/C42</f>
        <v>1</v>
      </c>
      <c r="D50" s="9">
        <f t="shared" ref="D50" si="24">D49/D42</f>
        <v>2.8195465671824809</v>
      </c>
      <c r="E50" s="9">
        <f t="shared" ref="E50" si="25">E49/E42</f>
        <v>2.790434493060117</v>
      </c>
      <c r="F50" s="9">
        <f t="shared" ref="F50" si="26">F49/F42</f>
        <v>1.6805971458354181</v>
      </c>
      <c r="G50" s="9">
        <f t="shared" ref="G50" si="27">G49/G42</f>
        <v>0.98201744817266434</v>
      </c>
      <c r="H50" s="9">
        <f t="shared" ref="H50" si="28">H49/H42</f>
        <v>1.3222978901671265</v>
      </c>
      <c r="I50" s="9">
        <f t="shared" ref="I50" si="29">I49/I42</f>
        <v>0.5448993201331187</v>
      </c>
    </row>
    <row r="51" spans="2:9" ht="16" thickBot="1"/>
    <row r="52" spans="2:9" ht="16" thickBot="1">
      <c r="B52" s="3" t="s">
        <v>5</v>
      </c>
      <c r="C52" s="1">
        <v>1</v>
      </c>
      <c r="D52" s="1">
        <v>4</v>
      </c>
      <c r="E52" s="1">
        <v>9</v>
      </c>
      <c r="F52" s="1">
        <v>16</v>
      </c>
      <c r="G52" s="1">
        <v>25</v>
      </c>
      <c r="H52" s="1">
        <v>36</v>
      </c>
      <c r="I52" s="1">
        <v>49</v>
      </c>
    </row>
    <row r="53" spans="2:9" ht="16" thickBot="1">
      <c r="C53" s="1">
        <v>29.899100000000001</v>
      </c>
      <c r="D53" s="2">
        <v>2.3366099999999999</v>
      </c>
      <c r="E53" s="2">
        <v>1.2378400000000001</v>
      </c>
      <c r="F53" s="2">
        <v>1.1444300000000001</v>
      </c>
      <c r="G53" s="2">
        <v>1.17357</v>
      </c>
      <c r="H53" s="2">
        <v>0.61257600000000001</v>
      </c>
      <c r="I53" s="2">
        <v>1.0394300000000001</v>
      </c>
    </row>
    <row r="54" spans="2:9" ht="16" thickBot="1">
      <c r="C54" s="1">
        <v>30.065200000000001</v>
      </c>
      <c r="D54" s="2">
        <v>3.5070299999999999</v>
      </c>
      <c r="E54" s="2">
        <v>1.22671</v>
      </c>
      <c r="F54" s="2">
        <v>1.1007499999999999</v>
      </c>
      <c r="G54" s="2">
        <v>1.1528499999999999</v>
      </c>
      <c r="H54" s="2">
        <v>0.59489300000000001</v>
      </c>
      <c r="I54" s="2">
        <v>1.0528599999999999</v>
      </c>
    </row>
    <row r="55" spans="2:9" ht="16" thickBot="1">
      <c r="C55" s="1">
        <v>29.895600000000002</v>
      </c>
      <c r="D55" s="2">
        <v>2.4327399999999999</v>
      </c>
      <c r="E55" s="2">
        <v>1.1875500000000001</v>
      </c>
      <c r="F55" s="2">
        <v>1.0743400000000001</v>
      </c>
      <c r="G55" s="2">
        <v>1.1454800000000001</v>
      </c>
      <c r="H55" s="2">
        <v>0.59055599999999997</v>
      </c>
      <c r="I55" s="2">
        <v>1.04009</v>
      </c>
    </row>
    <row r="56" spans="2:9" ht="16" thickBot="1">
      <c r="C56" s="1">
        <v>29.945599999999999</v>
      </c>
      <c r="D56" s="2">
        <v>2.5061200000000001</v>
      </c>
      <c r="E56" s="2">
        <v>1.2275100000000001</v>
      </c>
      <c r="F56" s="2">
        <v>1.10412</v>
      </c>
      <c r="G56" s="2">
        <v>1.1789700000000001</v>
      </c>
      <c r="H56" s="2">
        <v>0.58697100000000002</v>
      </c>
      <c r="I56" s="2">
        <v>1.0688299999999999</v>
      </c>
    </row>
    <row r="57" spans="2:9" ht="16" thickBot="1">
      <c r="C57" s="1">
        <v>30.9681</v>
      </c>
      <c r="D57" s="2">
        <v>3.36104</v>
      </c>
      <c r="E57" s="2">
        <v>1.1542300000000001</v>
      </c>
      <c r="F57" s="2">
        <v>1.0773299999999999</v>
      </c>
      <c r="G57" s="2">
        <v>1.17604</v>
      </c>
      <c r="H57" s="2">
        <v>0.61136100000000004</v>
      </c>
      <c r="I57" s="2">
        <v>1.0488900000000001</v>
      </c>
    </row>
    <row r="58" spans="2:9" ht="16" thickBot="1">
      <c r="B58" s="7" t="s">
        <v>6</v>
      </c>
      <c r="C58" s="4">
        <f>AVERAGE(C53:C57)</f>
        <v>30.154720000000005</v>
      </c>
      <c r="D58" s="4">
        <f t="shared" ref="D58" si="30">AVERAGE(D53:D57)</f>
        <v>2.8287079999999998</v>
      </c>
      <c r="E58" s="4">
        <f t="shared" ref="E58" si="31">AVERAGE(E53:E57)</f>
        <v>1.2067679999999998</v>
      </c>
      <c r="F58" s="4">
        <f t="shared" ref="F58" si="32">AVERAGE(F53:F57)</f>
        <v>1.1001939999999999</v>
      </c>
      <c r="G58" s="4">
        <f t="shared" ref="G58" si="33">AVERAGE(G53:G57)</f>
        <v>1.1653819999999999</v>
      </c>
      <c r="H58" s="4">
        <f t="shared" ref="H58" si="34">AVERAGE(H53:H57)</f>
        <v>0.59927140000000001</v>
      </c>
      <c r="I58" s="4">
        <f t="shared" ref="I58" si="35">AVERAGE(I53:I57)</f>
        <v>1.0500200000000002</v>
      </c>
    </row>
    <row r="59" spans="2:9" ht="16" thickBot="1">
      <c r="B59" s="7" t="s">
        <v>7</v>
      </c>
      <c r="C59" s="8">
        <f>$C$58/C58</f>
        <v>1</v>
      </c>
      <c r="D59" s="8">
        <f t="shared" ref="D59:I59" si="36">$C$58/D58</f>
        <v>10.660244889186162</v>
      </c>
      <c r="E59" s="8">
        <f t="shared" si="36"/>
        <v>24.988001007650194</v>
      </c>
      <c r="F59" s="8">
        <f t="shared" si="36"/>
        <v>27.408547946998446</v>
      </c>
      <c r="G59" s="8">
        <f t="shared" si="36"/>
        <v>25.875395363923595</v>
      </c>
      <c r="H59" s="8">
        <f t="shared" si="36"/>
        <v>50.318970670050341</v>
      </c>
      <c r="I59" s="8">
        <f t="shared" si="36"/>
        <v>28.718233938401173</v>
      </c>
    </row>
    <row r="60" spans="2:9" ht="16" thickBot="1">
      <c r="B60" s="7" t="s">
        <v>8</v>
      </c>
      <c r="C60" s="9">
        <f>C59/C52</f>
        <v>1</v>
      </c>
      <c r="D60" s="9">
        <f t="shared" ref="D60" si="37">D59/D52</f>
        <v>2.6650612222965404</v>
      </c>
      <c r="E60" s="9">
        <f t="shared" ref="E60" si="38">E59/E52</f>
        <v>2.7764445564055773</v>
      </c>
      <c r="F60" s="9">
        <f t="shared" ref="F60" si="39">F59/F52</f>
        <v>1.7130342466874029</v>
      </c>
      <c r="G60" s="9">
        <f t="shared" ref="G60" si="40">G59/G52</f>
        <v>1.0350158145569437</v>
      </c>
      <c r="H60" s="9">
        <f t="shared" ref="H60" si="41">H59/H52</f>
        <v>1.3977491852791761</v>
      </c>
      <c r="I60" s="9">
        <f t="shared" ref="I60" si="42">I59/I52</f>
        <v>0.58608640690614644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Lee</dc:creator>
  <cp:lastModifiedBy>Wenjun Lee</cp:lastModifiedBy>
  <dcterms:created xsi:type="dcterms:W3CDTF">2026-03-29T14:54:33Z</dcterms:created>
  <dcterms:modified xsi:type="dcterms:W3CDTF">2026-04-09T00:39:32Z</dcterms:modified>
</cp:coreProperties>
</file>