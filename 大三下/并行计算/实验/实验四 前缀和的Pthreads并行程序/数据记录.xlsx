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2d9a24ccc042b8/Course/并行计算/实验/实验四/"/>
    </mc:Choice>
  </mc:AlternateContent>
  <xr:revisionPtr revIDLastSave="27" documentId="13_ncr:1_{7B38005B-A752-4654-9900-D4F1BD302BEC}" xr6:coauthVersionLast="47" xr6:coauthVersionMax="47" xr10:uidLastSave="{80E50737-BF92-114B-A709-0B66AEF665EC}"/>
  <bookViews>
    <workbookView xWindow="9980" yWindow="660" windowWidth="19420" windowHeight="17060" xr2:uid="{9A0A2D00-F43A-4DD4-97B9-A37300927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M3" i="1" a="1"/>
  <c r="M3" i="1" s="1"/>
  <c r="N3" i="1" a="1"/>
  <c r="N3" i="1" s="1"/>
  <c r="O3" i="1" a="1"/>
  <c r="O3" i="1" s="1"/>
  <c r="F69" i="1"/>
  <c r="G69" i="1"/>
  <c r="C69" i="1"/>
  <c r="C8" i="1"/>
  <c r="I78" i="1"/>
  <c r="H78" i="1"/>
  <c r="H79" i="1" s="1"/>
  <c r="G78" i="1"/>
  <c r="G79" i="1" s="1"/>
  <c r="F78" i="1"/>
  <c r="F79" i="1" s="1"/>
  <c r="E78" i="1"/>
  <c r="D78" i="1"/>
  <c r="C78" i="1"/>
  <c r="I79" i="1" s="1"/>
  <c r="I68" i="1"/>
  <c r="H68" i="1"/>
  <c r="H69" i="1" s="1"/>
  <c r="G68" i="1"/>
  <c r="F68" i="1"/>
  <c r="E68" i="1"/>
  <c r="E69" i="1" s="1"/>
  <c r="D68" i="1"/>
  <c r="R3" i="1" s="1" a="1"/>
  <c r="R3" i="1" s="1"/>
  <c r="C68" i="1"/>
  <c r="D69" i="1" s="1"/>
  <c r="I58" i="1"/>
  <c r="H58" i="1"/>
  <c r="G58" i="1"/>
  <c r="F58" i="1"/>
  <c r="Q3" i="1" s="1" a="1"/>
  <c r="Q3" i="1" s="1"/>
  <c r="E58" i="1"/>
  <c r="D58" i="1"/>
  <c r="C58" i="1"/>
  <c r="D48" i="1"/>
  <c r="E48" i="1"/>
  <c r="F48" i="1"/>
  <c r="G48" i="1"/>
  <c r="H48" i="1"/>
  <c r="I48" i="1"/>
  <c r="D38" i="1"/>
  <c r="E38" i="1"/>
  <c r="F38" i="1"/>
  <c r="G38" i="1"/>
  <c r="H38" i="1"/>
  <c r="I38" i="1"/>
  <c r="D28" i="1"/>
  <c r="E28" i="1"/>
  <c r="F28" i="1"/>
  <c r="G28" i="1"/>
  <c r="H28" i="1"/>
  <c r="I28" i="1"/>
  <c r="C48" i="1"/>
  <c r="P3" i="1" s="1" a="1"/>
  <c r="P3" i="1" s="1"/>
  <c r="C38" i="1"/>
  <c r="C28" i="1"/>
  <c r="D18" i="1"/>
  <c r="E18" i="1"/>
  <c r="F18" i="1"/>
  <c r="G18" i="1"/>
  <c r="H18" i="1"/>
  <c r="I18" i="1"/>
  <c r="C18" i="1"/>
  <c r="D8" i="1"/>
  <c r="E8" i="1"/>
  <c r="F8" i="1"/>
  <c r="G8" i="1"/>
  <c r="H8" i="1"/>
  <c r="I8" i="1"/>
  <c r="D79" i="1" l="1"/>
  <c r="E79" i="1"/>
  <c r="E80" i="1" s="1"/>
  <c r="S3" i="1" a="1"/>
  <c r="S3" i="1" s="1"/>
  <c r="C79" i="1"/>
  <c r="I69" i="1"/>
  <c r="I70" i="1" s="1"/>
  <c r="R13" i="1" a="1"/>
  <c r="R13" i="1" s="1"/>
  <c r="H19" i="1"/>
  <c r="G80" i="1"/>
  <c r="I80" i="1"/>
  <c r="D80" i="1"/>
  <c r="D70" i="1"/>
  <c r="F80" i="1"/>
  <c r="H80" i="1"/>
  <c r="E70" i="1"/>
  <c r="F70" i="1"/>
  <c r="G70" i="1"/>
  <c r="I29" i="1"/>
  <c r="I30" i="1" s="1"/>
  <c r="H70" i="1"/>
  <c r="G59" i="1"/>
  <c r="G60" i="1" s="1"/>
  <c r="H49" i="1"/>
  <c r="H50" i="1" s="1"/>
  <c r="I59" i="1"/>
  <c r="I60" i="1" s="1"/>
  <c r="D39" i="1"/>
  <c r="D40" i="1" s="1"/>
  <c r="D19" i="1"/>
  <c r="D20" i="1" s="1"/>
  <c r="H59" i="1"/>
  <c r="H60" i="1" s="1"/>
  <c r="E39" i="1"/>
  <c r="E40" i="1" s="1"/>
  <c r="C19" i="1"/>
  <c r="I19" i="1"/>
  <c r="I20" i="1" s="1"/>
  <c r="G49" i="1"/>
  <c r="G50" i="1" s="1"/>
  <c r="F49" i="1"/>
  <c r="F50" i="1" s="1"/>
  <c r="E49" i="1"/>
  <c r="E50" i="1" s="1"/>
  <c r="G19" i="1"/>
  <c r="G20" i="1" s="1"/>
  <c r="F19" i="1"/>
  <c r="F20" i="1" s="1"/>
  <c r="D49" i="1"/>
  <c r="D50" i="1" s="1"/>
  <c r="F39" i="1"/>
  <c r="F40" i="1" s="1"/>
  <c r="E19" i="1"/>
  <c r="E20" i="1" s="1"/>
  <c r="F59" i="1"/>
  <c r="F60" i="1" s="1"/>
  <c r="D59" i="1"/>
  <c r="D60" i="1" s="1"/>
  <c r="C29" i="1"/>
  <c r="H29" i="1"/>
  <c r="H30" i="1" s="1"/>
  <c r="G29" i="1"/>
  <c r="G30" i="1" s="1"/>
  <c r="F29" i="1"/>
  <c r="F30" i="1" s="1"/>
  <c r="E29" i="1"/>
  <c r="E30" i="1" s="1"/>
  <c r="D29" i="1"/>
  <c r="D30" i="1" s="1"/>
  <c r="E59" i="1"/>
  <c r="E60" i="1" s="1"/>
  <c r="C59" i="1"/>
  <c r="C49" i="1"/>
  <c r="I49" i="1"/>
  <c r="I50" i="1" s="1"/>
  <c r="C39" i="1"/>
  <c r="H39" i="1"/>
  <c r="H40" i="1" s="1"/>
  <c r="G39" i="1"/>
  <c r="G40" i="1" s="1"/>
  <c r="I39" i="1"/>
  <c r="I40" i="1" s="1"/>
  <c r="I9" i="1"/>
  <c r="I10" i="1" s="1"/>
  <c r="F9" i="1"/>
  <c r="F10" i="1" s="1"/>
  <c r="E9" i="1"/>
  <c r="E10" i="1" s="1"/>
  <c r="H20" i="1"/>
  <c r="C9" i="1"/>
  <c r="H9" i="1"/>
  <c r="H10" i="1" s="1"/>
  <c r="G9" i="1"/>
  <c r="G10" i="1" s="1"/>
  <c r="D9" i="1"/>
  <c r="D10" i="1" s="1"/>
  <c r="Q13" i="1" l="1" a="1"/>
  <c r="Q13" i="1" s="1"/>
  <c r="C80" i="1"/>
  <c r="S13" i="1" a="1"/>
  <c r="S13" i="1" s="1"/>
  <c r="C70" i="1"/>
  <c r="R23" i="1" s="1" a="1"/>
  <c r="R23" i="1" s="1"/>
  <c r="S23" i="1" a="1"/>
  <c r="S23" i="1" s="1"/>
  <c r="C50" i="1"/>
  <c r="P23" i="1" s="1" a="1"/>
  <c r="P23" i="1" s="1"/>
  <c r="P13" i="1" a="1"/>
  <c r="P13" i="1" s="1"/>
  <c r="C60" i="1"/>
  <c r="Q23" i="1" s="1" a="1"/>
  <c r="Q23" i="1" s="1"/>
  <c r="C40" i="1"/>
  <c r="O23" i="1" s="1" a="1"/>
  <c r="O23" i="1" s="1"/>
  <c r="O13" i="1" a="1"/>
  <c r="O13" i="1" s="1"/>
  <c r="C30" i="1"/>
  <c r="N23" i="1" s="1" a="1"/>
  <c r="N23" i="1" s="1"/>
  <c r="N13" i="1" a="1"/>
  <c r="N13" i="1" s="1"/>
  <c r="C20" i="1"/>
  <c r="M23" i="1" s="1" a="1"/>
  <c r="M23" i="1" s="1"/>
  <c r="M13" i="1" a="1"/>
  <c r="M13" i="1" s="1"/>
  <c r="C10" i="1"/>
  <c r="L23" i="1" s="1" a="1"/>
  <c r="L23" i="1" s="1"/>
  <c r="L13" i="1" a="1"/>
  <c r="L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<sst xmlns="http://schemas.openxmlformats.org/spreadsheetml/2006/main" count="24" uniqueCount="3">
  <si>
    <t>平均运行时间</t>
    <phoneticPr fontId="2" type="noConversion"/>
  </si>
  <si>
    <t>加速比</t>
    <phoneticPr fontId="2" type="noConversion"/>
  </si>
  <si>
    <t>效率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</si>
</sst>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0_);[Red]\(0.00000\)"/>
    <numFmt numFmtId="178" formatCode="0.0000_);[Red]\(0.0000\)"/>
  </numFmts>
  <fonts count="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461-63FF-4F13-B128-153599EB9261}">
  <dimension ref="B1:S80"/>
  <sheetViews>
    <sheetView tabSelected="1" topLeftCell="F1" zoomScale="115" zoomScaleNormal="115" workbookViewId="0">
      <selection activeCell="N16" sqref="N16"/>
    </sheetView>
  </sheetViews>
  <sheetFormatPr baseColWidth="10" defaultColWidth="8.83203125" defaultRowHeight="15"/>
  <cols>
    <col min="2" max="2" width="14.33203125" customWidth="1"/>
    <col min="3" max="3" width="10" bestFit="1" customWidth="1"/>
    <col min="4" max="6" width="9.5" bestFit="1" customWidth="1"/>
    <col min="7" max="7" width="10.5" bestFit="1" customWidth="1"/>
    <col min="8" max="9" width="9.5" bestFit="1" customWidth="1"/>
    <col min="12" max="12" width="10" bestFit="1" customWidth="1"/>
    <col min="13" max="17" width="9" bestFit="1" customWidth="1"/>
  </cols>
  <sheetData>
    <row r="1" spans="2:19" ht="16" thickBot="1"/>
    <row r="2" spans="2:19" ht="16" thickBot="1">
      <c r="B2" s="11">
        <v>100000000</v>
      </c>
      <c r="C2" s="1">
        <v>1</v>
      </c>
      <c r="D2" s="1">
        <v>2</v>
      </c>
      <c r="E2" s="1">
        <v>4</v>
      </c>
      <c r="F2" s="1">
        <v>8</v>
      </c>
      <c r="G2" s="1">
        <v>16</v>
      </c>
      <c r="H2" s="1">
        <v>32</v>
      </c>
      <c r="I2" s="1">
        <v>64</v>
      </c>
      <c r="L2" s="11">
        <v>100000000</v>
      </c>
      <c r="M2" s="11">
        <v>200000000</v>
      </c>
      <c r="N2" s="11">
        <v>300000000</v>
      </c>
      <c r="O2" s="11">
        <v>400000000</v>
      </c>
      <c r="P2" s="11">
        <v>500000000</v>
      </c>
      <c r="Q2" s="11">
        <v>600000000</v>
      </c>
      <c r="R2" s="11">
        <v>700000000</v>
      </c>
      <c r="S2" s="11">
        <v>800000000</v>
      </c>
    </row>
    <row r="3" spans="2:19" ht="16" thickBot="1">
      <c r="C3" s="3">
        <v>0.85033899999999996</v>
      </c>
      <c r="D3" s="4">
        <v>0.67130299999999998</v>
      </c>
      <c r="E3" s="4">
        <v>0.38142900000000002</v>
      </c>
      <c r="F3" s="4">
        <v>0.29286299999999998</v>
      </c>
      <c r="G3" s="4">
        <v>0.29076800000000003</v>
      </c>
      <c r="H3" s="4">
        <v>0.31646200000000002</v>
      </c>
      <c r="I3" s="4">
        <v>0.31399700000000003</v>
      </c>
      <c r="K3" s="1">
        <v>1</v>
      </c>
      <c r="L3" s="10" cm="1">
        <f t="array" ref="L3:L9">TRANSPOSE(C8:I8)</f>
        <v>0.86289959999999988</v>
      </c>
      <c r="M3" s="10" cm="1">
        <f t="array" ref="M3:M9">TRANSPOSE(C18:I18)</f>
        <v>1.657788</v>
      </c>
      <c r="N3" s="10" cm="1">
        <f t="array" ref="N3:N9">TRANSPOSE(C28:I28)</f>
        <v>2.5698159999999999</v>
      </c>
      <c r="O3" s="10" cm="1">
        <f t="array" ref="O3:O9">TRANSPOSE(C38:I38)</f>
        <v>3.6190939999999996</v>
      </c>
      <c r="P3" s="10" cm="1">
        <f t="array" ref="P3:P9">TRANSPOSE(C48:I48)</f>
        <v>4.6897120000000001</v>
      </c>
      <c r="Q3" s="10" cm="1">
        <f t="array" ref="Q3:Q9">TRANSPOSE(C58:I58)</f>
        <v>5.9344599999999996</v>
      </c>
      <c r="R3" s="10" cm="1">
        <f t="array" ref="R3:R9">TRANSPOSE(C68:I68)</f>
        <v>6.0642519999999998</v>
      </c>
      <c r="S3" s="10" cm="1">
        <f t="array" ref="S3:S9">TRANSPOSE(C78:I78)</f>
        <v>6.8804119999999998</v>
      </c>
    </row>
    <row r="4" spans="2:19" ht="16" thickBot="1">
      <c r="C4" s="3">
        <v>0.84098899999999999</v>
      </c>
      <c r="D4" s="4">
        <v>0.63987700000000003</v>
      </c>
      <c r="E4" s="4">
        <v>0.37171900000000002</v>
      </c>
      <c r="F4" s="4">
        <v>0.279111</v>
      </c>
      <c r="G4" s="4">
        <v>0.31811400000000001</v>
      </c>
      <c r="H4" s="4">
        <v>0.34386699999999998</v>
      </c>
      <c r="I4" s="4">
        <v>0.31435099999999999</v>
      </c>
      <c r="K4" s="1">
        <v>2</v>
      </c>
      <c r="L4" s="10">
        <v>0.6560376</v>
      </c>
      <c r="M4" s="10">
        <v>1.2416</v>
      </c>
      <c r="N4" s="10">
        <v>1.8249479999999998</v>
      </c>
      <c r="O4" s="10">
        <v>2.6581780000000004</v>
      </c>
      <c r="P4" s="10">
        <v>3.1715600000000004</v>
      </c>
      <c r="Q4" s="10">
        <v>4.1335859999999993</v>
      </c>
      <c r="R4" s="10">
        <v>5.1774080000000007</v>
      </c>
      <c r="S4" s="10">
        <v>5.9425140000000001</v>
      </c>
    </row>
    <row r="5" spans="2:19" ht="16" thickBot="1">
      <c r="C5" s="3">
        <v>0.92338900000000002</v>
      </c>
      <c r="D5" s="4">
        <v>0.64314400000000005</v>
      </c>
      <c r="E5" s="4">
        <v>0.379025</v>
      </c>
      <c r="F5" s="4">
        <v>0.28451700000000002</v>
      </c>
      <c r="G5" s="4">
        <v>0.29019200000000001</v>
      </c>
      <c r="H5" s="4">
        <v>0.34109899999999999</v>
      </c>
      <c r="I5" s="4">
        <v>0.33348</v>
      </c>
      <c r="K5" s="1">
        <v>4</v>
      </c>
      <c r="L5" s="10">
        <v>0.37350559999999999</v>
      </c>
      <c r="M5" s="10">
        <v>0.70637919999999998</v>
      </c>
      <c r="N5" s="10">
        <v>1.0582731999999999</v>
      </c>
      <c r="O5" s="10">
        <v>1.454974</v>
      </c>
      <c r="P5" s="10">
        <v>1.9404379999999999</v>
      </c>
      <c r="Q5" s="10">
        <v>2.3698699999999997</v>
      </c>
      <c r="R5" s="10">
        <v>2.8605539999999996</v>
      </c>
      <c r="S5" s="10">
        <v>3.2727040000000001</v>
      </c>
    </row>
    <row r="6" spans="2:19" ht="16" thickBot="1">
      <c r="C6" s="3">
        <v>0.78105599999999997</v>
      </c>
      <c r="D6" s="4">
        <v>0.67017499999999997</v>
      </c>
      <c r="E6" s="4">
        <v>0.36717499999999997</v>
      </c>
      <c r="F6" s="4">
        <v>0.26405699999999999</v>
      </c>
      <c r="G6" s="4">
        <v>0.319075</v>
      </c>
      <c r="H6" s="4">
        <v>0.34050000000000002</v>
      </c>
      <c r="I6" s="4">
        <v>0.31696099999999999</v>
      </c>
      <c r="K6" s="1">
        <v>8</v>
      </c>
      <c r="L6" s="10">
        <v>0.28168739999999998</v>
      </c>
      <c r="M6" s="10">
        <v>0.54721180000000003</v>
      </c>
      <c r="N6" s="10">
        <v>0.87677680000000002</v>
      </c>
      <c r="O6" s="10">
        <v>1.1848068</v>
      </c>
      <c r="P6" s="10">
        <v>1.786062</v>
      </c>
      <c r="Q6" s="10">
        <v>1.8609079999999998</v>
      </c>
      <c r="R6" s="10">
        <v>2.0876539999999997</v>
      </c>
      <c r="S6" s="10">
        <v>2.2188560000000002</v>
      </c>
    </row>
    <row r="7" spans="2:19" ht="16" thickBot="1">
      <c r="C7" s="3">
        <v>0.91872500000000001</v>
      </c>
      <c r="D7" s="4">
        <v>0.65568899999999997</v>
      </c>
      <c r="E7" s="4">
        <v>0.36818000000000001</v>
      </c>
      <c r="F7" s="4">
        <v>0.28788900000000001</v>
      </c>
      <c r="G7" s="4">
        <v>0.32940999999999998</v>
      </c>
      <c r="H7" s="4">
        <v>0.34771400000000002</v>
      </c>
      <c r="I7" s="4">
        <v>0.34311900000000001</v>
      </c>
      <c r="K7" s="1">
        <v>16</v>
      </c>
      <c r="L7" s="10">
        <v>0.3095118</v>
      </c>
      <c r="M7" s="10">
        <v>0.62508660000000005</v>
      </c>
      <c r="N7" s="10">
        <v>0.92500059999999995</v>
      </c>
      <c r="O7" s="10">
        <v>1.258262</v>
      </c>
      <c r="P7" s="10">
        <v>1.7040700000000002</v>
      </c>
      <c r="Q7" s="10">
        <v>2.107694</v>
      </c>
      <c r="R7" s="10">
        <v>2.2721139999999997</v>
      </c>
      <c r="S7" s="10">
        <v>2.9894880000000001</v>
      </c>
    </row>
    <row r="8" spans="2:19" ht="16" thickBot="1">
      <c r="B8" s="6" t="s">
        <v>0</v>
      </c>
      <c r="C8" s="9">
        <f>AVERAGE(C3:C7)</f>
        <v>0.86289959999999988</v>
      </c>
      <c r="D8" s="9">
        <f t="shared" ref="D8:I8" si="0">AVERAGE(D3:D7)</f>
        <v>0.6560376</v>
      </c>
      <c r="E8" s="9">
        <f t="shared" si="0"/>
        <v>0.37350559999999999</v>
      </c>
      <c r="F8" s="9">
        <f t="shared" si="0"/>
        <v>0.28168739999999998</v>
      </c>
      <c r="G8" s="9">
        <f t="shared" si="0"/>
        <v>0.3095118</v>
      </c>
      <c r="H8" s="9">
        <f t="shared" si="0"/>
        <v>0.33792840000000002</v>
      </c>
      <c r="I8" s="9">
        <f t="shared" si="0"/>
        <v>0.32438159999999999</v>
      </c>
      <c r="K8" s="1">
        <v>32</v>
      </c>
      <c r="L8" s="10">
        <v>0.33792840000000002</v>
      </c>
      <c r="M8" s="10">
        <v>0.64523340000000007</v>
      </c>
      <c r="N8" s="10">
        <v>0.94029580000000001</v>
      </c>
      <c r="O8" s="10">
        <v>1.2658039999999999</v>
      </c>
      <c r="P8" s="10">
        <v>1.7711099999999997</v>
      </c>
      <c r="Q8" s="10">
        <v>2.1690900000000002</v>
      </c>
      <c r="R8" s="10">
        <v>2.4709319999999999</v>
      </c>
      <c r="S8" s="10">
        <v>2.9858699999999998</v>
      </c>
    </row>
    <row r="9" spans="2:19" ht="16" thickBot="1">
      <c r="B9" s="6" t="s">
        <v>1</v>
      </c>
      <c r="C9" s="7">
        <f>$C$8/C8</f>
        <v>1</v>
      </c>
      <c r="D9" s="7">
        <f t="shared" ref="D9:I9" si="1">$C$8/D8</f>
        <v>1.3153203413950663</v>
      </c>
      <c r="E9" s="7">
        <f t="shared" si="1"/>
        <v>2.3102721886900754</v>
      </c>
      <c r="F9" s="7">
        <f t="shared" si="1"/>
        <v>3.0633233861365468</v>
      </c>
      <c r="G9" s="7">
        <f t="shared" si="1"/>
        <v>2.7879376489038541</v>
      </c>
      <c r="H9" s="7">
        <f t="shared" si="1"/>
        <v>2.5534983150276798</v>
      </c>
      <c r="I9" s="7">
        <f t="shared" si="1"/>
        <v>2.6601373197493321</v>
      </c>
      <c r="K9" s="1">
        <v>64</v>
      </c>
      <c r="L9" s="10">
        <v>0.32438159999999999</v>
      </c>
      <c r="M9" s="10">
        <v>0.6502966</v>
      </c>
      <c r="N9" s="10">
        <v>1.0070017999999998</v>
      </c>
      <c r="O9" s="10">
        <v>1.2706719999999998</v>
      </c>
      <c r="P9" s="10">
        <v>1.8416500000000002</v>
      </c>
      <c r="Q9" s="10">
        <v>2.0914440000000001</v>
      </c>
      <c r="R9" s="10">
        <v>2.4613840000000002</v>
      </c>
      <c r="S9" s="10">
        <v>2.9073959999999994</v>
      </c>
    </row>
    <row r="10" spans="2:19" ht="16" thickBot="1">
      <c r="B10" s="6" t="s">
        <v>2</v>
      </c>
      <c r="C10" s="8">
        <f>C9/C2</f>
        <v>1</v>
      </c>
      <c r="D10" s="8">
        <f t="shared" ref="D10:I10" si="2">D9/D2</f>
        <v>0.65766017069753313</v>
      </c>
      <c r="E10" s="8">
        <f t="shared" si="2"/>
        <v>0.57756804717251886</v>
      </c>
      <c r="F10" s="8">
        <f t="shared" si="2"/>
        <v>0.38291542326706834</v>
      </c>
      <c r="G10" s="8">
        <f t="shared" si="2"/>
        <v>0.17424610305649088</v>
      </c>
      <c r="H10" s="8">
        <f t="shared" si="2"/>
        <v>7.9796822344614993E-2</v>
      </c>
      <c r="I10" s="8">
        <f t="shared" si="2"/>
        <v>4.1564645621083314E-2</v>
      </c>
    </row>
    <row r="11" spans="2:19" ht="16" thickBot="1"/>
    <row r="12" spans="2:19" ht="16" thickBot="1">
      <c r="B12" s="11">
        <v>200000000</v>
      </c>
      <c r="C12" s="1">
        <v>1</v>
      </c>
      <c r="D12" s="1">
        <v>2</v>
      </c>
      <c r="E12" s="1">
        <v>4</v>
      </c>
      <c r="F12" s="1">
        <v>8</v>
      </c>
      <c r="G12" s="1">
        <v>16</v>
      </c>
      <c r="H12" s="1">
        <v>32</v>
      </c>
      <c r="I12" s="1">
        <v>64</v>
      </c>
      <c r="L12" s="11">
        <v>100000000</v>
      </c>
      <c r="M12" s="11">
        <v>200000000</v>
      </c>
      <c r="N12" s="11">
        <v>300000000</v>
      </c>
      <c r="O12" s="11">
        <v>400000000</v>
      </c>
      <c r="P12" s="11">
        <v>500000000</v>
      </c>
      <c r="Q12" s="11">
        <v>600000000</v>
      </c>
      <c r="R12" s="11">
        <v>700000000</v>
      </c>
      <c r="S12" s="11">
        <v>800000000</v>
      </c>
    </row>
    <row r="13" spans="2:19" ht="16" thickBot="1">
      <c r="C13" s="3">
        <v>1.7926599999999999</v>
      </c>
      <c r="D13" s="4">
        <v>1.1890000000000001</v>
      </c>
      <c r="E13" s="4">
        <v>0.61341000000000001</v>
      </c>
      <c r="F13" s="4">
        <v>0.53466100000000005</v>
      </c>
      <c r="G13" s="4">
        <v>0.63544299999999998</v>
      </c>
      <c r="H13" s="4">
        <v>0.632911</v>
      </c>
      <c r="I13" s="4">
        <v>0.68448100000000001</v>
      </c>
      <c r="K13" s="1">
        <v>1</v>
      </c>
      <c r="L13" s="7" cm="1">
        <f t="array" ref="L13:L19">TRANSPOSE(C9:I9)</f>
        <v>1</v>
      </c>
      <c r="M13" s="7" cm="1">
        <f t="array" ref="M13:M19">TRANSPOSE(C19:I19)</f>
        <v>1</v>
      </c>
      <c r="N13" s="7" cm="1">
        <f t="array" ref="N13:N19">TRANSPOSE(C29:I29)</f>
        <v>1</v>
      </c>
      <c r="O13" s="7" cm="1">
        <f t="array" ref="O13:O19">TRANSPOSE(C39:I39)</f>
        <v>1</v>
      </c>
      <c r="P13" s="7" cm="1">
        <f t="array" ref="P13:P19">TRANSPOSE(C49:I49)</f>
        <v>1</v>
      </c>
      <c r="Q13" s="7" cm="1">
        <f t="array" ref="Q13:Q19">TRANSPOSE(C59:I59)</f>
        <v>1</v>
      </c>
      <c r="R13" s="7" cm="1">
        <f t="array" ref="R13:R19">TRANSPOSE(C69:I69)</f>
        <v>1</v>
      </c>
      <c r="S13" s="7" cm="1">
        <f t="array" ref="S13:S19">TRANSPOSE(C79:I79)</f>
        <v>1</v>
      </c>
    </row>
    <row r="14" spans="2:19" ht="16" thickBot="1">
      <c r="C14" s="3">
        <v>1.51034</v>
      </c>
      <c r="D14" s="4">
        <v>1.2469300000000001</v>
      </c>
      <c r="E14" s="4">
        <v>0.73645799999999995</v>
      </c>
      <c r="F14" s="4">
        <v>0.52601200000000004</v>
      </c>
      <c r="G14" s="4">
        <v>0.63729100000000005</v>
      </c>
      <c r="H14" s="4">
        <v>0.68484500000000004</v>
      </c>
      <c r="I14" s="4">
        <v>0.62562499999999999</v>
      </c>
      <c r="K14" s="1">
        <v>2</v>
      </c>
      <c r="L14" s="7">
        <v>1.3153203413950663</v>
      </c>
      <c r="M14" s="7">
        <v>1.3352029639175258</v>
      </c>
      <c r="N14" s="7">
        <v>1.408158479036115</v>
      </c>
      <c r="O14" s="7">
        <v>1.3614942264964947</v>
      </c>
      <c r="P14" s="7">
        <v>1.4786767395225062</v>
      </c>
      <c r="Q14" s="7">
        <v>1.4356686905752054</v>
      </c>
      <c r="R14" s="7">
        <v>1.1712911170995215</v>
      </c>
      <c r="S14" s="7">
        <v>1.1578284880776049</v>
      </c>
    </row>
    <row r="15" spans="2:19" ht="16" thickBot="1">
      <c r="C15" s="3">
        <v>1.6714899999999999</v>
      </c>
      <c r="D15" s="4">
        <v>1.15937</v>
      </c>
      <c r="E15" s="4">
        <v>0.72170699999999999</v>
      </c>
      <c r="F15" s="4">
        <v>0.56076899999999996</v>
      </c>
      <c r="G15" s="4">
        <v>0.63825500000000002</v>
      </c>
      <c r="H15" s="4">
        <v>0.66048099999999998</v>
      </c>
      <c r="I15" s="4">
        <v>0.63368999999999998</v>
      </c>
      <c r="K15" s="1">
        <v>4</v>
      </c>
      <c r="L15" s="7">
        <v>2.3102721886900754</v>
      </c>
      <c r="M15" s="7">
        <v>2.3468811086170147</v>
      </c>
      <c r="N15" s="7">
        <v>2.4283105723550404</v>
      </c>
      <c r="O15" s="7">
        <v>2.4873942764612975</v>
      </c>
      <c r="P15" s="7">
        <v>2.4168316637790026</v>
      </c>
      <c r="Q15" s="7">
        <v>2.504128918463882</v>
      </c>
      <c r="R15" s="7">
        <v>2.1199571831190744</v>
      </c>
      <c r="S15" s="7">
        <v>2.1023630612484356</v>
      </c>
    </row>
    <row r="16" spans="2:19" ht="16" thickBot="1">
      <c r="C16" s="3">
        <v>1.5209299999999999</v>
      </c>
      <c r="D16" s="4">
        <v>1.3127500000000001</v>
      </c>
      <c r="E16" s="4">
        <v>0.73512200000000005</v>
      </c>
      <c r="F16" s="4">
        <v>0.52615100000000004</v>
      </c>
      <c r="G16" s="4">
        <v>0.60678500000000002</v>
      </c>
      <c r="H16" s="4">
        <v>0.63060799999999995</v>
      </c>
      <c r="I16" s="4">
        <v>0.67885799999999996</v>
      </c>
      <c r="K16" s="1">
        <v>8</v>
      </c>
      <c r="L16" s="7">
        <v>3.0633233861365468</v>
      </c>
      <c r="M16" s="7">
        <v>3.0295180038149763</v>
      </c>
      <c r="N16" s="7">
        <v>2.9309808379966258</v>
      </c>
      <c r="O16" s="7">
        <v>3.05458577719169</v>
      </c>
      <c r="P16" s="7">
        <v>2.6257274383532039</v>
      </c>
      <c r="Q16" s="7">
        <v>3.1890131054302526</v>
      </c>
      <c r="R16" s="7">
        <v>2.9048166027512226</v>
      </c>
      <c r="S16" s="7">
        <v>3.1008826169882133</v>
      </c>
    </row>
    <row r="17" spans="2:19" ht="16" thickBot="1">
      <c r="C17" s="3">
        <v>1.79352</v>
      </c>
      <c r="D17" s="4">
        <v>1.2999499999999999</v>
      </c>
      <c r="E17" s="4">
        <v>0.72519900000000004</v>
      </c>
      <c r="F17" s="4">
        <v>0.58846600000000004</v>
      </c>
      <c r="G17" s="4">
        <v>0.60765899999999995</v>
      </c>
      <c r="H17" s="4">
        <v>0.61732200000000004</v>
      </c>
      <c r="I17" s="4">
        <v>0.62882899999999997</v>
      </c>
      <c r="K17" s="1">
        <v>16</v>
      </c>
      <c r="L17" s="7">
        <v>2.7879376489038541</v>
      </c>
      <c r="M17" s="7">
        <v>2.6520933259487562</v>
      </c>
      <c r="N17" s="7">
        <v>2.7781776573982762</v>
      </c>
      <c r="O17" s="7">
        <v>2.8762642438538233</v>
      </c>
      <c r="P17" s="7">
        <v>2.7520653494281335</v>
      </c>
      <c r="Q17" s="7">
        <v>2.8156174473144584</v>
      </c>
      <c r="R17" s="7">
        <v>2.6689910805531767</v>
      </c>
      <c r="S17" s="7">
        <v>2.3015352461692435</v>
      </c>
    </row>
    <row r="18" spans="2:19" ht="16" thickBot="1">
      <c r="B18" s="6" t="s">
        <v>0</v>
      </c>
      <c r="C18" s="3">
        <f>AVERAGE(C13:C17)</f>
        <v>1.657788</v>
      </c>
      <c r="D18" s="3">
        <f t="shared" ref="D18:I18" si="3">AVERAGE(D13:D17)</f>
        <v>1.2416</v>
      </c>
      <c r="E18" s="3">
        <f t="shared" si="3"/>
        <v>0.70637919999999998</v>
      </c>
      <c r="F18" s="3">
        <f t="shared" si="3"/>
        <v>0.54721180000000003</v>
      </c>
      <c r="G18" s="3">
        <f t="shared" si="3"/>
        <v>0.62508660000000005</v>
      </c>
      <c r="H18" s="3">
        <f t="shared" si="3"/>
        <v>0.64523340000000007</v>
      </c>
      <c r="I18" s="3">
        <f t="shared" si="3"/>
        <v>0.6502966</v>
      </c>
      <c r="K18" s="1">
        <v>32</v>
      </c>
      <c r="L18" s="7">
        <v>2.5534983150276798</v>
      </c>
      <c r="M18" s="7">
        <v>2.5692842311014896</v>
      </c>
      <c r="N18" s="7">
        <v>2.7329867899016458</v>
      </c>
      <c r="O18" s="7">
        <v>2.8591266894400711</v>
      </c>
      <c r="P18" s="7">
        <v>2.647894258402923</v>
      </c>
      <c r="Q18" s="7">
        <v>2.7359215154742307</v>
      </c>
      <c r="R18" s="7">
        <v>2.4542367009695125</v>
      </c>
      <c r="S18" s="7">
        <v>2.304324032861444</v>
      </c>
    </row>
    <row r="19" spans="2:19" ht="16" thickBot="1">
      <c r="B19" s="6" t="s">
        <v>1</v>
      </c>
      <c r="C19" s="7">
        <f>$C$18/C18</f>
        <v>1</v>
      </c>
      <c r="D19" s="7">
        <f t="shared" ref="D19:I19" si="4">$C$18/D18</f>
        <v>1.3352029639175258</v>
      </c>
      <c r="E19" s="7">
        <f t="shared" si="4"/>
        <v>2.3468811086170147</v>
      </c>
      <c r="F19" s="7">
        <f t="shared" si="4"/>
        <v>3.0295180038149763</v>
      </c>
      <c r="G19" s="7">
        <f t="shared" si="4"/>
        <v>2.6520933259487562</v>
      </c>
      <c r="H19" s="7">
        <f t="shared" si="4"/>
        <v>2.5692842311014896</v>
      </c>
      <c r="I19" s="7">
        <f t="shared" si="4"/>
        <v>2.5492798209309413</v>
      </c>
      <c r="K19" s="1">
        <v>64</v>
      </c>
      <c r="L19" s="7">
        <v>2.6601373197493321</v>
      </c>
      <c r="M19" s="7">
        <v>2.5492798209309413</v>
      </c>
      <c r="N19" s="7">
        <v>2.5519477720893851</v>
      </c>
      <c r="O19" s="7">
        <v>2.8481732500598111</v>
      </c>
      <c r="P19" s="7">
        <v>2.5464729997556534</v>
      </c>
      <c r="Q19" s="7">
        <v>2.8374940949889162</v>
      </c>
      <c r="R19" s="7">
        <v>2.4637569757502278</v>
      </c>
      <c r="S19" s="7">
        <v>2.3665204189590963</v>
      </c>
    </row>
    <row r="20" spans="2:19" ht="16" thickBot="1">
      <c r="B20" s="6" t="s">
        <v>2</v>
      </c>
      <c r="C20" s="8">
        <f t="shared" ref="C20:I20" si="5">C19/C12</f>
        <v>1</v>
      </c>
      <c r="D20" s="8">
        <f t="shared" si="5"/>
        <v>0.6676014819587629</v>
      </c>
      <c r="E20" s="8">
        <f t="shared" si="5"/>
        <v>0.58672027715425368</v>
      </c>
      <c r="F20" s="8">
        <f t="shared" si="5"/>
        <v>0.37868975047687203</v>
      </c>
      <c r="G20" s="8">
        <f t="shared" si="5"/>
        <v>0.16575583287179727</v>
      </c>
      <c r="H20" s="8">
        <f t="shared" si="5"/>
        <v>8.0290132221921551E-2</v>
      </c>
      <c r="I20" s="8">
        <f t="shared" si="5"/>
        <v>3.9832497202045958E-2</v>
      </c>
    </row>
    <row r="21" spans="2:19" ht="16" thickBot="1"/>
    <row r="22" spans="2:19" ht="16" thickBot="1">
      <c r="B22" s="11">
        <v>300000000</v>
      </c>
      <c r="C22" s="1">
        <v>1</v>
      </c>
      <c r="D22" s="1">
        <v>2</v>
      </c>
      <c r="E22" s="1">
        <v>4</v>
      </c>
      <c r="F22" s="1">
        <v>8</v>
      </c>
      <c r="G22" s="1">
        <v>16</v>
      </c>
      <c r="H22" s="1">
        <v>32</v>
      </c>
      <c r="I22" s="1">
        <v>64</v>
      </c>
      <c r="L22" s="11">
        <v>100000000</v>
      </c>
      <c r="M22" s="11">
        <v>200000000</v>
      </c>
      <c r="N22" s="11">
        <v>300000000</v>
      </c>
      <c r="O22" s="11">
        <v>400000000</v>
      </c>
      <c r="P22" s="11">
        <v>500000000</v>
      </c>
      <c r="Q22" s="11">
        <v>600000000</v>
      </c>
      <c r="R22" s="11">
        <v>700000000</v>
      </c>
      <c r="S22" s="11">
        <v>800000000</v>
      </c>
    </row>
    <row r="23" spans="2:19" ht="16" thickBot="1">
      <c r="C23" s="1">
        <v>2.4696899999999999</v>
      </c>
      <c r="D23" s="2">
        <v>1.9554199999999999</v>
      </c>
      <c r="E23" s="2">
        <v>1.07118</v>
      </c>
      <c r="F23" s="2">
        <v>0.84714199999999995</v>
      </c>
      <c r="G23" s="2">
        <v>0.89517000000000002</v>
      </c>
      <c r="H23" s="2">
        <v>0.92702200000000001</v>
      </c>
      <c r="I23" s="2">
        <v>0.93269400000000002</v>
      </c>
      <c r="K23" s="1">
        <v>1</v>
      </c>
      <c r="L23" s="12" cm="1">
        <f t="array" ref="L23:L29">TRANSPOSE(C10:I10)</f>
        <v>1</v>
      </c>
      <c r="M23" s="12" cm="1">
        <f t="array" ref="M23:M29">TRANSPOSE(C20:I20)</f>
        <v>1</v>
      </c>
      <c r="N23" s="12" cm="1">
        <f t="array" ref="N23:N29">TRANSPOSE(C30:I30)</f>
        <v>1</v>
      </c>
      <c r="O23" s="12" cm="1">
        <f t="array" ref="O23:O29">TRANSPOSE(C40:I40)</f>
        <v>1</v>
      </c>
      <c r="P23" s="12" cm="1">
        <f t="array" ref="P23:P29">TRANSPOSE(C50:I50)</f>
        <v>1</v>
      </c>
      <c r="Q23" s="12" cm="1">
        <f t="array" ref="Q23:Q29">TRANSPOSE(C60:I60)</f>
        <v>1</v>
      </c>
      <c r="R23" s="12" cm="1">
        <f t="array" ref="R23:R29">TRANSPOSE(C70:I70)</f>
        <v>1</v>
      </c>
      <c r="S23" s="12" cm="1">
        <f t="array" ref="S23:S29">TRANSPOSE(C80:I80)</f>
        <v>1</v>
      </c>
    </row>
    <row r="24" spans="2:19" ht="16" thickBot="1">
      <c r="C24" s="1">
        <v>2.4796499999999999</v>
      </c>
      <c r="D24" s="2">
        <v>1.76308</v>
      </c>
      <c r="E24" s="2">
        <v>1.0750599999999999</v>
      </c>
      <c r="F24" s="2">
        <v>0.88702999999999999</v>
      </c>
      <c r="G24" s="2">
        <v>0.84425600000000001</v>
      </c>
      <c r="H24" s="2">
        <v>0.89384399999999997</v>
      </c>
      <c r="I24" s="2">
        <v>1.01172</v>
      </c>
      <c r="K24" s="1">
        <v>2</v>
      </c>
      <c r="L24" s="12">
        <v>0.65766017069753313</v>
      </c>
      <c r="M24" s="12">
        <v>0.6676014819587629</v>
      </c>
      <c r="N24" s="12">
        <v>0.70407923951805751</v>
      </c>
      <c r="O24" s="12">
        <v>0.68074711324824733</v>
      </c>
      <c r="P24" s="12">
        <v>0.73933836976125311</v>
      </c>
      <c r="Q24" s="12">
        <v>0.7178343452876027</v>
      </c>
      <c r="R24" s="12">
        <v>0.58564555854976075</v>
      </c>
      <c r="S24" s="12">
        <v>0.57891424403880243</v>
      </c>
    </row>
    <row r="25" spans="2:19" ht="16" thickBot="1">
      <c r="C25" s="1">
        <v>2.6866699999999999</v>
      </c>
      <c r="D25" s="2">
        <v>1.9603299999999999</v>
      </c>
      <c r="E25" s="2">
        <v>1.0983400000000001</v>
      </c>
      <c r="F25" s="2">
        <v>0.906304</v>
      </c>
      <c r="G25" s="2">
        <v>1.0312600000000001</v>
      </c>
      <c r="H25" s="2">
        <v>0.96369700000000003</v>
      </c>
      <c r="I25" s="2">
        <v>0.95121500000000003</v>
      </c>
      <c r="K25" s="1">
        <v>4</v>
      </c>
      <c r="L25" s="12">
        <v>0.57756804717251886</v>
      </c>
      <c r="M25" s="12">
        <v>0.58672027715425368</v>
      </c>
      <c r="N25" s="12">
        <v>0.60707764308876011</v>
      </c>
      <c r="O25" s="12">
        <v>0.62184856911532438</v>
      </c>
      <c r="P25" s="12">
        <v>0.60420791594475065</v>
      </c>
      <c r="Q25" s="12">
        <v>0.62603222961597049</v>
      </c>
      <c r="R25" s="12">
        <v>0.52998929577976861</v>
      </c>
      <c r="S25" s="12">
        <v>0.52559076531210891</v>
      </c>
    </row>
    <row r="26" spans="2:19" ht="16" thickBot="1">
      <c r="C26" s="1">
        <v>2.5144500000000001</v>
      </c>
      <c r="D26" s="2">
        <v>1.7548299999999999</v>
      </c>
      <c r="E26" s="2">
        <v>1.0882799999999999</v>
      </c>
      <c r="F26" s="2">
        <v>0.85056299999999996</v>
      </c>
      <c r="G26" s="2">
        <v>0.96548999999999996</v>
      </c>
      <c r="H26" s="2">
        <v>0.95931900000000003</v>
      </c>
      <c r="I26" s="2">
        <v>1.1028</v>
      </c>
      <c r="K26" s="1">
        <v>8</v>
      </c>
      <c r="L26" s="12">
        <v>0.38291542326706834</v>
      </c>
      <c r="M26" s="12">
        <v>0.37868975047687203</v>
      </c>
      <c r="N26" s="12">
        <v>0.36637260474957822</v>
      </c>
      <c r="O26" s="12">
        <v>0.38182322214896125</v>
      </c>
      <c r="P26" s="12">
        <v>0.32821592979415048</v>
      </c>
      <c r="Q26" s="12">
        <v>0.39862663817878158</v>
      </c>
      <c r="R26" s="12">
        <v>0.36310207534390282</v>
      </c>
      <c r="S26" s="12">
        <v>0.38761032712352667</v>
      </c>
    </row>
    <row r="27" spans="2:19" ht="16" thickBot="1">
      <c r="C27" s="1">
        <v>2.69862</v>
      </c>
      <c r="D27" s="2">
        <v>1.6910799999999999</v>
      </c>
      <c r="E27" s="2">
        <v>0.95850599999999997</v>
      </c>
      <c r="F27" s="2">
        <v>0.892845</v>
      </c>
      <c r="G27" s="2">
        <v>0.88882700000000003</v>
      </c>
      <c r="H27" s="2">
        <v>0.95759700000000003</v>
      </c>
      <c r="I27" s="2">
        <v>1.0365800000000001</v>
      </c>
      <c r="K27" s="1">
        <v>16</v>
      </c>
      <c r="L27" s="12">
        <v>0.17424610305649088</v>
      </c>
      <c r="M27" s="12">
        <v>0.16575583287179727</v>
      </c>
      <c r="N27" s="12">
        <v>0.17363610358739226</v>
      </c>
      <c r="O27" s="12">
        <v>0.17976651524086396</v>
      </c>
      <c r="P27" s="12">
        <v>0.17200408433925835</v>
      </c>
      <c r="Q27" s="12">
        <v>0.17597609045715365</v>
      </c>
      <c r="R27" s="12">
        <v>0.16681194253457354</v>
      </c>
      <c r="S27" s="12">
        <v>0.14384595288557772</v>
      </c>
    </row>
    <row r="28" spans="2:19" ht="16" thickBot="1">
      <c r="B28" s="6" t="s">
        <v>0</v>
      </c>
      <c r="C28" s="3">
        <f>AVERAGE(C23:C27)</f>
        <v>2.5698159999999999</v>
      </c>
      <c r="D28" s="3">
        <f t="shared" ref="D28:I28" si="6">AVERAGE(D23:D27)</f>
        <v>1.8249479999999998</v>
      </c>
      <c r="E28" s="3">
        <f t="shared" si="6"/>
        <v>1.0582731999999999</v>
      </c>
      <c r="F28" s="3">
        <f t="shared" si="6"/>
        <v>0.87677680000000002</v>
      </c>
      <c r="G28" s="3">
        <f t="shared" si="6"/>
        <v>0.92500059999999995</v>
      </c>
      <c r="H28" s="3">
        <f t="shared" si="6"/>
        <v>0.94029580000000001</v>
      </c>
      <c r="I28" s="3">
        <f t="shared" si="6"/>
        <v>1.0070017999999998</v>
      </c>
      <c r="K28" s="1">
        <v>32</v>
      </c>
      <c r="L28" s="12">
        <v>7.9796822344614993E-2</v>
      </c>
      <c r="M28" s="12">
        <v>8.0290132221921551E-2</v>
      </c>
      <c r="N28" s="12">
        <v>8.5405837184426431E-2</v>
      </c>
      <c r="O28" s="12">
        <v>8.9347709045002222E-2</v>
      </c>
      <c r="P28" s="12">
        <v>8.2746695575091345E-2</v>
      </c>
      <c r="Q28" s="12">
        <v>8.5497547358569709E-2</v>
      </c>
      <c r="R28" s="12">
        <v>7.6694896905297266E-2</v>
      </c>
      <c r="S28" s="12">
        <v>7.2010126026920127E-2</v>
      </c>
    </row>
    <row r="29" spans="2:19" ht="16" thickBot="1">
      <c r="B29" s="6" t="s">
        <v>1</v>
      </c>
      <c r="C29" s="7">
        <f>$C$28/C28</f>
        <v>1</v>
      </c>
      <c r="D29" s="7">
        <f t="shared" ref="D29:H29" si="7">$C$28/D28</f>
        <v>1.408158479036115</v>
      </c>
      <c r="E29" s="7">
        <f t="shared" si="7"/>
        <v>2.4283105723550404</v>
      </c>
      <c r="F29" s="7">
        <f t="shared" si="7"/>
        <v>2.9309808379966258</v>
      </c>
      <c r="G29" s="7">
        <f t="shared" si="7"/>
        <v>2.7781776573982762</v>
      </c>
      <c r="H29" s="7">
        <f t="shared" si="7"/>
        <v>2.7329867899016458</v>
      </c>
      <c r="I29" s="7">
        <f>$C$28/I28</f>
        <v>2.5519477720893851</v>
      </c>
      <c r="K29" s="1">
        <v>64</v>
      </c>
      <c r="L29" s="12">
        <v>4.1564645621083314E-2</v>
      </c>
      <c r="M29" s="12">
        <v>3.9832497202045958E-2</v>
      </c>
      <c r="N29" s="12">
        <v>3.9874183938896642E-2</v>
      </c>
      <c r="O29" s="12">
        <v>4.4502707032184549E-2</v>
      </c>
      <c r="P29" s="12">
        <v>3.9788640621182085E-2</v>
      </c>
      <c r="Q29" s="12">
        <v>4.4335845234201816E-2</v>
      </c>
      <c r="R29" s="12">
        <v>3.8496202746097309E-2</v>
      </c>
      <c r="S29" s="12">
        <v>3.6976881546235879E-2</v>
      </c>
    </row>
    <row r="30" spans="2:19" ht="16" thickBot="1">
      <c r="B30" s="6" t="s">
        <v>2</v>
      </c>
      <c r="C30" s="8">
        <f>C29/C22</f>
        <v>1</v>
      </c>
      <c r="D30" s="8">
        <f t="shared" ref="D30" si="8">D29/D22</f>
        <v>0.70407923951805751</v>
      </c>
      <c r="E30" s="8">
        <f t="shared" ref="E30" si="9">E29/E22</f>
        <v>0.60707764308876011</v>
      </c>
      <c r="F30" s="8">
        <f t="shared" ref="F30" si="10">F29/F22</f>
        <v>0.36637260474957822</v>
      </c>
      <c r="G30" s="8">
        <f t="shared" ref="G30" si="11">G29/G22</f>
        <v>0.17363610358739226</v>
      </c>
      <c r="H30" s="8">
        <f t="shared" ref="H30" si="12">H29/H22</f>
        <v>8.5405837184426431E-2</v>
      </c>
      <c r="I30" s="8">
        <f t="shared" ref="I30" si="13">I29/I22</f>
        <v>3.9874183938896642E-2</v>
      </c>
      <c r="L30" s="5"/>
    </row>
    <row r="31" spans="2:19" ht="16" thickBot="1"/>
    <row r="32" spans="2:19" ht="16" thickBot="1">
      <c r="B32" s="11">
        <v>400000000</v>
      </c>
      <c r="C32" s="1">
        <v>1</v>
      </c>
      <c r="D32" s="1">
        <v>2</v>
      </c>
      <c r="E32" s="1">
        <v>4</v>
      </c>
      <c r="F32" s="1">
        <v>8</v>
      </c>
      <c r="G32" s="1">
        <v>16</v>
      </c>
      <c r="H32" s="1">
        <v>32</v>
      </c>
      <c r="I32" s="1">
        <v>64</v>
      </c>
    </row>
    <row r="33" spans="2:9" ht="16" thickBot="1">
      <c r="C33" s="1">
        <v>3.8731599999999999</v>
      </c>
      <c r="D33" s="2">
        <v>2.9916</v>
      </c>
      <c r="E33" s="2">
        <v>1.46278</v>
      </c>
      <c r="F33" s="2">
        <v>1.3596699999999999</v>
      </c>
      <c r="G33" s="2">
        <v>1.17774</v>
      </c>
      <c r="H33" s="2">
        <v>1.1532</v>
      </c>
      <c r="I33" s="2">
        <v>1.25752</v>
      </c>
    </row>
    <row r="34" spans="2:9" ht="16" thickBot="1">
      <c r="C34" s="1">
        <v>3.8441299999999998</v>
      </c>
      <c r="D34" s="2">
        <v>2.7212800000000001</v>
      </c>
      <c r="E34" s="2">
        <v>1.43103</v>
      </c>
      <c r="F34" s="2">
        <v>1.14418</v>
      </c>
      <c r="G34" s="2">
        <v>1.3673500000000001</v>
      </c>
      <c r="H34" s="2">
        <v>1.2396100000000001</v>
      </c>
      <c r="I34" s="2">
        <v>1.34928</v>
      </c>
    </row>
    <row r="35" spans="2:9" ht="16" thickBot="1">
      <c r="C35" s="1">
        <v>3.4030200000000002</v>
      </c>
      <c r="D35" s="2">
        <v>2.6768999999999998</v>
      </c>
      <c r="E35" s="2">
        <v>1.4302900000000001</v>
      </c>
      <c r="F35" s="2">
        <v>1.2458499999999999</v>
      </c>
      <c r="G35" s="2">
        <v>1.21879</v>
      </c>
      <c r="H35" s="2">
        <v>1.28782</v>
      </c>
      <c r="I35" s="2">
        <v>1.37107</v>
      </c>
    </row>
    <row r="36" spans="2:9" ht="16" thickBot="1">
      <c r="C36" s="1">
        <v>3.5788899999999999</v>
      </c>
      <c r="D36" s="2">
        <v>2.46183</v>
      </c>
      <c r="E36" s="2">
        <v>1.5168999999999999</v>
      </c>
      <c r="F36" s="2">
        <v>1.1875599999999999</v>
      </c>
      <c r="G36" s="2">
        <v>1.33127</v>
      </c>
      <c r="H36" s="2">
        <v>1.2644200000000001</v>
      </c>
      <c r="I36" s="2">
        <v>1.1929099999999999</v>
      </c>
    </row>
    <row r="37" spans="2:9" ht="16" thickBot="1">
      <c r="C37" s="1">
        <v>3.3962699999999999</v>
      </c>
      <c r="D37" s="2">
        <v>2.4392800000000001</v>
      </c>
      <c r="E37" s="2">
        <v>1.43387</v>
      </c>
      <c r="F37" s="2">
        <v>0.98677400000000004</v>
      </c>
      <c r="G37" s="2">
        <v>1.1961599999999999</v>
      </c>
      <c r="H37" s="2">
        <v>1.3839699999999999</v>
      </c>
      <c r="I37" s="2">
        <v>1.18258</v>
      </c>
    </row>
    <row r="38" spans="2:9" ht="16" thickBot="1">
      <c r="B38" s="6" t="s">
        <v>0</v>
      </c>
      <c r="C38" s="3">
        <f>AVERAGE(C33:C37)</f>
        <v>3.6190939999999996</v>
      </c>
      <c r="D38" s="3">
        <f t="shared" ref="D38:I38" si="14">AVERAGE(D33:D37)</f>
        <v>2.6581780000000004</v>
      </c>
      <c r="E38" s="3">
        <f t="shared" si="14"/>
        <v>1.454974</v>
      </c>
      <c r="F38" s="3">
        <f t="shared" si="14"/>
        <v>1.1848068</v>
      </c>
      <c r="G38" s="3">
        <f t="shared" si="14"/>
        <v>1.258262</v>
      </c>
      <c r="H38" s="3">
        <f t="shared" si="14"/>
        <v>1.2658039999999999</v>
      </c>
      <c r="I38" s="3">
        <f t="shared" si="14"/>
        <v>1.2706719999999998</v>
      </c>
    </row>
    <row r="39" spans="2:9" ht="16" thickBot="1">
      <c r="B39" s="6" t="s">
        <v>1</v>
      </c>
      <c r="C39" s="7">
        <f>$C$38/C38</f>
        <v>1</v>
      </c>
      <c r="D39" s="7">
        <f t="shared" ref="D39:I39" si="15">$C$38/D38</f>
        <v>1.3614942264964947</v>
      </c>
      <c r="E39" s="7">
        <f t="shared" si="15"/>
        <v>2.4873942764612975</v>
      </c>
      <c r="F39" s="7">
        <f t="shared" si="15"/>
        <v>3.05458577719169</v>
      </c>
      <c r="G39" s="7">
        <f t="shared" si="15"/>
        <v>2.8762642438538233</v>
      </c>
      <c r="H39" s="7">
        <f t="shared" si="15"/>
        <v>2.8591266894400711</v>
      </c>
      <c r="I39" s="7">
        <f t="shared" si="15"/>
        <v>2.8481732500598111</v>
      </c>
    </row>
    <row r="40" spans="2:9" ht="16" thickBot="1">
      <c r="B40" s="6" t="s">
        <v>2</v>
      </c>
      <c r="C40" s="8">
        <f>C39/C32</f>
        <v>1</v>
      </c>
      <c r="D40" s="8">
        <f t="shared" ref="D40" si="16">D39/D32</f>
        <v>0.68074711324824733</v>
      </c>
      <c r="E40" s="8">
        <f t="shared" ref="E40" si="17">E39/E32</f>
        <v>0.62184856911532438</v>
      </c>
      <c r="F40" s="8">
        <f t="shared" ref="F40" si="18">F39/F32</f>
        <v>0.38182322214896125</v>
      </c>
      <c r="G40" s="8">
        <f t="shared" ref="G40" si="19">G39/G32</f>
        <v>0.17976651524086396</v>
      </c>
      <c r="H40" s="8">
        <f t="shared" ref="H40" si="20">H39/H32</f>
        <v>8.9347709045002222E-2</v>
      </c>
      <c r="I40" s="8">
        <f t="shared" ref="I40" si="21">I39/I32</f>
        <v>4.4502707032184549E-2</v>
      </c>
    </row>
    <row r="41" spans="2:9" ht="16" thickBot="1"/>
    <row r="42" spans="2:9" ht="16" thickBot="1">
      <c r="B42" s="11">
        <v>500000000</v>
      </c>
      <c r="C42" s="1">
        <v>1</v>
      </c>
      <c r="D42" s="1">
        <v>2</v>
      </c>
      <c r="E42" s="1">
        <v>4</v>
      </c>
      <c r="F42" s="1">
        <v>8</v>
      </c>
      <c r="G42" s="1">
        <v>16</v>
      </c>
      <c r="H42" s="1">
        <v>32</v>
      </c>
      <c r="I42" s="1">
        <v>64</v>
      </c>
    </row>
    <row r="43" spans="2:9" ht="16" thickBot="1">
      <c r="C43" s="1">
        <v>3.86938</v>
      </c>
      <c r="D43" s="2">
        <v>2.9762</v>
      </c>
      <c r="E43" s="2">
        <v>2.0646399999999998</v>
      </c>
      <c r="F43" s="2">
        <v>1.9275800000000001</v>
      </c>
      <c r="G43" s="2">
        <v>1.64653</v>
      </c>
      <c r="H43" s="2">
        <v>1.7734700000000001</v>
      </c>
      <c r="I43" s="2">
        <v>1.7584299999999999</v>
      </c>
    </row>
    <row r="44" spans="2:9" ht="16" thickBot="1">
      <c r="C44" s="1">
        <v>4.1877000000000004</v>
      </c>
      <c r="D44" s="2">
        <v>3.0953900000000001</v>
      </c>
      <c r="E44" s="2">
        <v>2.0343399999999998</v>
      </c>
      <c r="F44" s="2">
        <v>2.09084</v>
      </c>
      <c r="G44" s="2">
        <v>1.64154</v>
      </c>
      <c r="H44" s="2">
        <v>2.0088200000000001</v>
      </c>
      <c r="I44" s="2">
        <v>2.0258600000000002</v>
      </c>
    </row>
    <row r="45" spans="2:9" ht="16" thickBot="1">
      <c r="C45" s="1">
        <v>5.0371100000000002</v>
      </c>
      <c r="D45" s="2">
        <v>3.1451699999999998</v>
      </c>
      <c r="E45" s="2">
        <v>1.89466</v>
      </c>
      <c r="F45" s="2">
        <v>1.4103699999999999</v>
      </c>
      <c r="G45" s="2">
        <v>1.4478</v>
      </c>
      <c r="H45" s="2">
        <v>1.4917400000000001</v>
      </c>
      <c r="I45" s="2">
        <v>1.6531899999999999</v>
      </c>
    </row>
    <row r="46" spans="2:9" ht="16" thickBot="1">
      <c r="C46" s="1">
        <v>5.6499800000000002</v>
      </c>
      <c r="D46" s="2">
        <v>3.3204799999999999</v>
      </c>
      <c r="E46" s="2">
        <v>1.8365100000000001</v>
      </c>
      <c r="F46" s="2">
        <v>2.1116100000000002</v>
      </c>
      <c r="G46" s="2">
        <v>1.98926</v>
      </c>
      <c r="H46" s="2">
        <v>1.9507099999999999</v>
      </c>
      <c r="I46" s="2">
        <v>1.95817</v>
      </c>
    </row>
    <row r="47" spans="2:9" ht="16" thickBot="1">
      <c r="C47" s="1">
        <v>4.7043900000000001</v>
      </c>
      <c r="D47" s="2">
        <v>3.32056</v>
      </c>
      <c r="E47" s="2">
        <v>1.8720399999999999</v>
      </c>
      <c r="F47" s="2">
        <v>1.38991</v>
      </c>
      <c r="G47" s="2">
        <v>1.79522</v>
      </c>
      <c r="H47" s="2">
        <v>1.6308100000000001</v>
      </c>
      <c r="I47" s="2">
        <v>1.8126</v>
      </c>
    </row>
    <row r="48" spans="2:9" ht="16" thickBot="1">
      <c r="B48" s="6" t="s">
        <v>0</v>
      </c>
      <c r="C48" s="3">
        <f>AVERAGE(C43:C47)</f>
        <v>4.6897120000000001</v>
      </c>
      <c r="D48" s="3">
        <f t="shared" ref="D48:I48" si="22">AVERAGE(D43:D47)</f>
        <v>3.1715600000000004</v>
      </c>
      <c r="E48" s="3">
        <f t="shared" si="22"/>
        <v>1.9404379999999999</v>
      </c>
      <c r="F48" s="3">
        <f t="shared" si="22"/>
        <v>1.786062</v>
      </c>
      <c r="G48" s="3">
        <f t="shared" si="22"/>
        <v>1.7040700000000002</v>
      </c>
      <c r="H48" s="3">
        <f t="shared" si="22"/>
        <v>1.7711099999999997</v>
      </c>
      <c r="I48" s="3">
        <f t="shared" si="22"/>
        <v>1.8416500000000002</v>
      </c>
    </row>
    <row r="49" spans="2:9" ht="16" thickBot="1">
      <c r="B49" s="6" t="s">
        <v>1</v>
      </c>
      <c r="C49" s="7">
        <f>$C$48/C48</f>
        <v>1</v>
      </c>
      <c r="D49" s="7">
        <f t="shared" ref="D49:I49" si="23">$C$48/D48</f>
        <v>1.4786767395225062</v>
      </c>
      <c r="E49" s="7">
        <f t="shared" si="23"/>
        <v>2.4168316637790026</v>
      </c>
      <c r="F49" s="7">
        <f t="shared" si="23"/>
        <v>2.6257274383532039</v>
      </c>
      <c r="G49" s="7">
        <f t="shared" si="23"/>
        <v>2.7520653494281335</v>
      </c>
      <c r="H49" s="7">
        <f t="shared" si="23"/>
        <v>2.647894258402923</v>
      </c>
      <c r="I49" s="7">
        <f t="shared" si="23"/>
        <v>2.5464729997556534</v>
      </c>
    </row>
    <row r="50" spans="2:9" ht="16" thickBot="1">
      <c r="B50" s="6" t="s">
        <v>2</v>
      </c>
      <c r="C50" s="8">
        <f>C49/C42</f>
        <v>1</v>
      </c>
      <c r="D50" s="8">
        <f t="shared" ref="D50" si="24">D49/D42</f>
        <v>0.73933836976125311</v>
      </c>
      <c r="E50" s="8">
        <f t="shared" ref="E50" si="25">E49/E42</f>
        <v>0.60420791594475065</v>
      </c>
      <c r="F50" s="8">
        <f t="shared" ref="F50" si="26">F49/F42</f>
        <v>0.32821592979415048</v>
      </c>
      <c r="G50" s="8">
        <f t="shared" ref="G50" si="27">G49/G42</f>
        <v>0.17200408433925835</v>
      </c>
      <c r="H50" s="8">
        <f t="shared" ref="H50" si="28">H49/H42</f>
        <v>8.2746695575091345E-2</v>
      </c>
      <c r="I50" s="8">
        <f t="shared" ref="I50" si="29">I49/I42</f>
        <v>3.9788640621182085E-2</v>
      </c>
    </row>
    <row r="51" spans="2:9" ht="16" thickBot="1"/>
    <row r="52" spans="2:9" ht="16" thickBot="1">
      <c r="B52" s="11">
        <v>600000000</v>
      </c>
      <c r="C52" s="1">
        <v>1</v>
      </c>
      <c r="D52" s="1">
        <v>2</v>
      </c>
      <c r="E52" s="1">
        <v>4</v>
      </c>
      <c r="F52" s="1">
        <v>8</v>
      </c>
      <c r="G52" s="1">
        <v>16</v>
      </c>
      <c r="H52" s="1">
        <v>32</v>
      </c>
      <c r="I52" s="1">
        <v>64</v>
      </c>
    </row>
    <row r="53" spans="2:9" ht="16" thickBot="1">
      <c r="C53" s="1">
        <v>5.5902500000000002</v>
      </c>
      <c r="D53" s="2">
        <v>4.9685499999999996</v>
      </c>
      <c r="E53" s="2">
        <v>2.9012699999999998</v>
      </c>
      <c r="F53" s="2">
        <v>2.1050900000000001</v>
      </c>
      <c r="G53" s="2">
        <v>1.80341</v>
      </c>
      <c r="H53" s="2">
        <v>2.0717400000000001</v>
      </c>
      <c r="I53" s="2">
        <v>2.12967</v>
      </c>
    </row>
    <row r="54" spans="2:9" ht="16" thickBot="1">
      <c r="C54" s="1">
        <v>6.0311700000000004</v>
      </c>
      <c r="D54" s="2">
        <v>3.7270300000000001</v>
      </c>
      <c r="E54" s="2">
        <v>2.2328999999999999</v>
      </c>
      <c r="F54" s="2">
        <v>1.63385</v>
      </c>
      <c r="G54" s="2">
        <v>2.2623799999999998</v>
      </c>
      <c r="H54" s="2">
        <v>2.0701399999999999</v>
      </c>
      <c r="I54" s="2">
        <v>2.0284200000000001</v>
      </c>
    </row>
    <row r="55" spans="2:9" ht="16" thickBot="1">
      <c r="C55" s="1">
        <v>5.4336900000000004</v>
      </c>
      <c r="D55" s="2">
        <v>3.7105100000000002</v>
      </c>
      <c r="E55" s="2">
        <v>2.14025</v>
      </c>
      <c r="F55" s="2">
        <v>1.62541</v>
      </c>
      <c r="G55" s="2">
        <v>2.2041300000000001</v>
      </c>
      <c r="H55" s="2">
        <v>2.2947799999999998</v>
      </c>
      <c r="I55" s="2">
        <v>2.0248699999999999</v>
      </c>
    </row>
    <row r="56" spans="2:9" ht="16" thickBot="1">
      <c r="C56" s="1">
        <v>6.5535100000000002</v>
      </c>
      <c r="D56" s="2">
        <v>4.3098099999999997</v>
      </c>
      <c r="E56" s="2">
        <v>2.3835999999999999</v>
      </c>
      <c r="F56" s="2">
        <v>2.3569399999999998</v>
      </c>
      <c r="G56" s="2">
        <v>1.9644299999999999</v>
      </c>
      <c r="H56" s="2">
        <v>2.0963500000000002</v>
      </c>
      <c r="I56" s="2">
        <v>2.0117600000000002</v>
      </c>
    </row>
    <row r="57" spans="2:9" ht="16" thickBot="1">
      <c r="C57" s="1">
        <v>6.0636799999999997</v>
      </c>
      <c r="D57" s="2">
        <v>3.9520300000000002</v>
      </c>
      <c r="E57" s="2">
        <v>2.1913299999999998</v>
      </c>
      <c r="F57" s="2">
        <v>1.58325</v>
      </c>
      <c r="G57" s="2">
        <v>2.3041200000000002</v>
      </c>
      <c r="H57" s="2">
        <v>2.3124400000000001</v>
      </c>
      <c r="I57" s="2">
        <v>2.2625000000000002</v>
      </c>
    </row>
    <row r="58" spans="2:9" ht="16" thickBot="1">
      <c r="B58" s="6" t="s">
        <v>0</v>
      </c>
      <c r="C58" s="3">
        <f>AVERAGE(C53:C57)</f>
        <v>5.9344599999999996</v>
      </c>
      <c r="D58" s="3">
        <f t="shared" ref="D58" si="30">AVERAGE(D53:D57)</f>
        <v>4.1335859999999993</v>
      </c>
      <c r="E58" s="3">
        <f t="shared" ref="E58" si="31">AVERAGE(E53:E57)</f>
        <v>2.3698699999999997</v>
      </c>
      <c r="F58" s="3">
        <f t="shared" ref="F58" si="32">AVERAGE(F53:F57)</f>
        <v>1.8609079999999998</v>
      </c>
      <c r="G58" s="3">
        <f t="shared" ref="G58" si="33">AVERAGE(G53:G57)</f>
        <v>2.107694</v>
      </c>
      <c r="H58" s="3">
        <f t="shared" ref="H58" si="34">AVERAGE(H53:H57)</f>
        <v>2.1690900000000002</v>
      </c>
      <c r="I58" s="3">
        <f t="shared" ref="I58" si="35">AVERAGE(I53:I57)</f>
        <v>2.0914440000000001</v>
      </c>
    </row>
    <row r="59" spans="2:9" ht="16" thickBot="1">
      <c r="B59" s="6" t="s">
        <v>1</v>
      </c>
      <c r="C59" s="7">
        <f>$C$58/C58</f>
        <v>1</v>
      </c>
      <c r="D59" s="7">
        <f t="shared" ref="D59:I59" si="36">$C$58/D58</f>
        <v>1.4356686905752054</v>
      </c>
      <c r="E59" s="7">
        <f t="shared" si="36"/>
        <v>2.504128918463882</v>
      </c>
      <c r="F59" s="7">
        <f t="shared" si="36"/>
        <v>3.1890131054302526</v>
      </c>
      <c r="G59" s="7">
        <f t="shared" si="36"/>
        <v>2.8156174473144584</v>
      </c>
      <c r="H59" s="7">
        <f t="shared" si="36"/>
        <v>2.7359215154742307</v>
      </c>
      <c r="I59" s="7">
        <f t="shared" si="36"/>
        <v>2.8374940949889162</v>
      </c>
    </row>
    <row r="60" spans="2:9" ht="16" thickBot="1">
      <c r="B60" s="6" t="s">
        <v>2</v>
      </c>
      <c r="C60" s="8">
        <f>C59/C52</f>
        <v>1</v>
      </c>
      <c r="D60" s="8">
        <f t="shared" ref="D60" si="37">D59/D52</f>
        <v>0.7178343452876027</v>
      </c>
      <c r="E60" s="8">
        <f t="shared" ref="E60" si="38">E59/E52</f>
        <v>0.62603222961597049</v>
      </c>
      <c r="F60" s="8">
        <f t="shared" ref="F60" si="39">F59/F52</f>
        <v>0.39862663817878158</v>
      </c>
      <c r="G60" s="8">
        <f t="shared" ref="G60" si="40">G59/G52</f>
        <v>0.17597609045715365</v>
      </c>
      <c r="H60" s="8">
        <f t="shared" ref="H60" si="41">H59/H52</f>
        <v>8.5497547358569709E-2</v>
      </c>
      <c r="I60" s="8">
        <f t="shared" ref="I60" si="42">I59/I52</f>
        <v>4.4335845234201816E-2</v>
      </c>
    </row>
    <row r="61" spans="2:9" ht="16" thickBot="1"/>
    <row r="62" spans="2:9" ht="16" thickBot="1">
      <c r="B62" s="11">
        <v>700000000</v>
      </c>
      <c r="C62" s="1">
        <v>1</v>
      </c>
      <c r="D62" s="1">
        <v>2</v>
      </c>
      <c r="E62" s="1">
        <v>4</v>
      </c>
      <c r="F62" s="1">
        <v>8</v>
      </c>
      <c r="G62" s="1">
        <v>16</v>
      </c>
      <c r="H62" s="1">
        <v>32</v>
      </c>
      <c r="I62" s="1">
        <v>64</v>
      </c>
    </row>
    <row r="63" spans="2:9" ht="16" thickBot="1">
      <c r="C63" s="1">
        <v>5.6192000000000002</v>
      </c>
      <c r="D63" s="2">
        <v>5.6795400000000003</v>
      </c>
      <c r="E63" s="2">
        <v>2.64717</v>
      </c>
      <c r="F63" s="2">
        <v>1.84267</v>
      </c>
      <c r="G63" s="2">
        <v>2.19922</v>
      </c>
      <c r="H63" s="2">
        <v>3.0476200000000002</v>
      </c>
      <c r="I63" s="2">
        <v>2.3702100000000002</v>
      </c>
    </row>
    <row r="64" spans="2:9" ht="16" thickBot="1">
      <c r="C64" s="1">
        <v>5.4582199999999998</v>
      </c>
      <c r="D64" s="2">
        <v>4.5605900000000004</v>
      </c>
      <c r="E64" s="2">
        <v>2.57544</v>
      </c>
      <c r="F64" s="2">
        <v>1.86415</v>
      </c>
      <c r="G64" s="2">
        <v>2.0471699999999999</v>
      </c>
      <c r="H64" s="2">
        <v>2.26891</v>
      </c>
      <c r="I64" s="2">
        <v>2.1004</v>
      </c>
    </row>
    <row r="65" spans="2:9" ht="16" thickBot="1">
      <c r="C65" s="1">
        <v>7.1077500000000002</v>
      </c>
      <c r="D65" s="2">
        <v>4.6405700000000003</v>
      </c>
      <c r="E65" s="2">
        <v>4.12059</v>
      </c>
      <c r="F65" s="2">
        <v>2.5632299999999999</v>
      </c>
      <c r="G65" s="2">
        <v>2.2995700000000001</v>
      </c>
      <c r="H65" s="2">
        <v>2.2543799999999998</v>
      </c>
      <c r="I65" s="2">
        <v>2.3020100000000001</v>
      </c>
    </row>
    <row r="66" spans="2:9" ht="16" thickBot="1">
      <c r="C66" s="1">
        <v>6.5310499999999996</v>
      </c>
      <c r="D66" s="2">
        <v>6.9506100000000002</v>
      </c>
      <c r="E66" s="2">
        <v>2.1501899999999998</v>
      </c>
      <c r="F66" s="2">
        <v>2.0944099999999999</v>
      </c>
      <c r="G66" s="2">
        <v>2.67563</v>
      </c>
      <c r="H66" s="2">
        <v>2.5643699999999998</v>
      </c>
      <c r="I66" s="2">
        <v>2.5188700000000002</v>
      </c>
    </row>
    <row r="67" spans="2:9" ht="16" thickBot="1">
      <c r="C67" s="1">
        <v>5.6050399999999998</v>
      </c>
      <c r="D67" s="2">
        <v>4.0557299999999996</v>
      </c>
      <c r="E67" s="2">
        <v>2.80938</v>
      </c>
      <c r="F67" s="2">
        <v>2.0738099999999999</v>
      </c>
      <c r="G67" s="2">
        <v>2.1389800000000001</v>
      </c>
      <c r="H67" s="2">
        <v>2.2193800000000001</v>
      </c>
      <c r="I67" s="2">
        <v>3.0154299999999998</v>
      </c>
    </row>
    <row r="68" spans="2:9" ht="16" thickBot="1">
      <c r="B68" s="6" t="s">
        <v>0</v>
      </c>
      <c r="C68" s="3">
        <f>AVERAGE(C63:C67)</f>
        <v>6.0642519999999998</v>
      </c>
      <c r="D68" s="3">
        <f t="shared" ref="D68:I68" si="43">AVERAGE(D63:D67)</f>
        <v>5.1774080000000007</v>
      </c>
      <c r="E68" s="3">
        <f t="shared" si="43"/>
        <v>2.8605539999999996</v>
      </c>
      <c r="F68" s="3">
        <f t="shared" si="43"/>
        <v>2.0876539999999997</v>
      </c>
      <c r="G68" s="3">
        <f t="shared" si="43"/>
        <v>2.2721139999999997</v>
      </c>
      <c r="H68" s="3">
        <f t="shared" si="43"/>
        <v>2.4709319999999999</v>
      </c>
      <c r="I68" s="3">
        <f t="shared" si="43"/>
        <v>2.4613840000000002</v>
      </c>
    </row>
    <row r="69" spans="2:9" ht="16" thickBot="1">
      <c r="B69" s="6" t="s">
        <v>1</v>
      </c>
      <c r="C69" s="7">
        <f>$C$68/C68</f>
        <v>1</v>
      </c>
      <c r="D69" s="7">
        <f t="shared" ref="D69:H69" si="44">$C$68/D68</f>
        <v>1.1712911170995215</v>
      </c>
      <c r="E69" s="7">
        <f t="shared" si="44"/>
        <v>2.1199571831190744</v>
      </c>
      <c r="F69" s="7">
        <f t="shared" si="44"/>
        <v>2.9048166027512226</v>
      </c>
      <c r="G69" s="7">
        <f t="shared" si="44"/>
        <v>2.6689910805531767</v>
      </c>
      <c r="H69" s="7">
        <f t="shared" si="44"/>
        <v>2.4542367009695125</v>
      </c>
      <c r="I69" s="7">
        <f>$C$68/I68</f>
        <v>2.4637569757502278</v>
      </c>
    </row>
    <row r="70" spans="2:9" ht="16" thickBot="1">
      <c r="B70" s="6" t="s">
        <v>2</v>
      </c>
      <c r="C70" s="8">
        <f>C69/C62</f>
        <v>1</v>
      </c>
      <c r="D70" s="8">
        <f t="shared" ref="D70:I70" si="45">D69/D62</f>
        <v>0.58564555854976075</v>
      </c>
      <c r="E70" s="8">
        <f t="shared" si="45"/>
        <v>0.52998929577976861</v>
      </c>
      <c r="F70" s="8">
        <f t="shared" si="45"/>
        <v>0.36310207534390282</v>
      </c>
      <c r="G70" s="8">
        <f t="shared" si="45"/>
        <v>0.16681194253457354</v>
      </c>
      <c r="H70" s="8">
        <f t="shared" si="45"/>
        <v>7.6694896905297266E-2</v>
      </c>
      <c r="I70" s="8">
        <f t="shared" si="45"/>
        <v>3.8496202746097309E-2</v>
      </c>
    </row>
    <row r="71" spans="2:9" ht="16" thickBot="1"/>
    <row r="72" spans="2:9" ht="16" thickBot="1">
      <c r="B72" s="11">
        <v>800000000</v>
      </c>
      <c r="C72" s="1">
        <v>1</v>
      </c>
      <c r="D72" s="1">
        <v>2</v>
      </c>
      <c r="E72" s="1">
        <v>4</v>
      </c>
      <c r="F72" s="1">
        <v>8</v>
      </c>
      <c r="G72" s="1">
        <v>16</v>
      </c>
      <c r="H72" s="1">
        <v>32</v>
      </c>
      <c r="I72" s="1">
        <v>64</v>
      </c>
    </row>
    <row r="73" spans="2:9" ht="16" thickBot="1">
      <c r="C73" s="1">
        <v>7.7438799999999999</v>
      </c>
      <c r="D73" s="2">
        <v>5.9992700000000001</v>
      </c>
      <c r="E73" s="2">
        <v>2.7373099999999999</v>
      </c>
      <c r="F73" s="2">
        <v>2.2292299999999998</v>
      </c>
      <c r="G73" s="2">
        <v>2.3123900000000002</v>
      </c>
      <c r="H73" s="2">
        <v>3.6394700000000002</v>
      </c>
      <c r="I73" s="2">
        <v>3.0436999999999999</v>
      </c>
    </row>
    <row r="74" spans="2:9" ht="16" thickBot="1">
      <c r="C74" s="1">
        <v>6.2728799999999998</v>
      </c>
      <c r="D74" s="2">
        <v>5.2400700000000002</v>
      </c>
      <c r="E74" s="2">
        <v>4.68818</v>
      </c>
      <c r="F74" s="2">
        <v>2.0827499999999999</v>
      </c>
      <c r="G74" s="2">
        <v>3.5613700000000001</v>
      </c>
      <c r="H74" s="2">
        <v>2.5793300000000001</v>
      </c>
      <c r="I74" s="2">
        <v>2.2863099999999998</v>
      </c>
    </row>
    <row r="75" spans="2:9" ht="16" thickBot="1">
      <c r="C75" s="1">
        <v>7.0270599999999996</v>
      </c>
      <c r="D75" s="2">
        <v>4.9726100000000004</v>
      </c>
      <c r="E75" s="2">
        <v>3.1072799999999998</v>
      </c>
      <c r="F75" s="2">
        <v>2.20505</v>
      </c>
      <c r="G75" s="2">
        <v>3.6218300000000001</v>
      </c>
      <c r="H75" s="2">
        <v>2.8033800000000002</v>
      </c>
      <c r="I75" s="2">
        <v>3.4061599999999999</v>
      </c>
    </row>
    <row r="76" spans="2:9" ht="16" thickBot="1">
      <c r="C76" s="1">
        <v>6.9064699999999997</v>
      </c>
      <c r="D76" s="2">
        <v>8.4904299999999999</v>
      </c>
      <c r="E76" s="2">
        <v>2.9750800000000002</v>
      </c>
      <c r="F76" s="2">
        <v>2.3393600000000001</v>
      </c>
      <c r="G76" s="2">
        <v>2.8824700000000001</v>
      </c>
      <c r="H76" s="2">
        <v>3.3374700000000002</v>
      </c>
      <c r="I76" s="2">
        <v>2.52569</v>
      </c>
    </row>
    <row r="77" spans="2:9" ht="16" thickBot="1">
      <c r="C77" s="1">
        <v>6.4517699999999998</v>
      </c>
      <c r="D77" s="2">
        <v>5.0101899999999997</v>
      </c>
      <c r="E77" s="2">
        <v>2.8556699999999999</v>
      </c>
      <c r="F77" s="2">
        <v>2.2378900000000002</v>
      </c>
      <c r="G77" s="2">
        <v>2.5693800000000002</v>
      </c>
      <c r="H77" s="2">
        <v>2.5697000000000001</v>
      </c>
      <c r="I77" s="2">
        <v>3.2751199999999998</v>
      </c>
    </row>
    <row r="78" spans="2:9" ht="16" thickBot="1">
      <c r="B78" s="6" t="s">
        <v>0</v>
      </c>
      <c r="C78" s="3">
        <f>AVERAGE(C73:C77)</f>
        <v>6.8804119999999998</v>
      </c>
      <c r="D78" s="3">
        <f t="shared" ref="D78:I78" si="46">AVERAGE(D73:D77)</f>
        <v>5.9425140000000001</v>
      </c>
      <c r="E78" s="3">
        <f t="shared" si="46"/>
        <v>3.2727040000000001</v>
      </c>
      <c r="F78" s="3">
        <f t="shared" si="46"/>
        <v>2.2188560000000002</v>
      </c>
      <c r="G78" s="3">
        <f t="shared" si="46"/>
        <v>2.9894880000000001</v>
      </c>
      <c r="H78" s="3">
        <f t="shared" si="46"/>
        <v>2.9858699999999998</v>
      </c>
      <c r="I78" s="3">
        <f t="shared" si="46"/>
        <v>2.9073959999999994</v>
      </c>
    </row>
    <row r="79" spans="2:9" ht="16" thickBot="1">
      <c r="B79" s="6" t="s">
        <v>1</v>
      </c>
      <c r="C79" s="7">
        <f>$C$78/C78</f>
        <v>1</v>
      </c>
      <c r="D79" s="7">
        <f t="shared" ref="D79:I79" si="47">$C$78/D78</f>
        <v>1.1578284880776049</v>
      </c>
      <c r="E79" s="7">
        <f t="shared" si="47"/>
        <v>2.1023630612484356</v>
      </c>
      <c r="F79" s="7">
        <f t="shared" si="47"/>
        <v>3.1008826169882133</v>
      </c>
      <c r="G79" s="7">
        <f t="shared" si="47"/>
        <v>2.3015352461692435</v>
      </c>
      <c r="H79" s="7">
        <f t="shared" si="47"/>
        <v>2.304324032861444</v>
      </c>
      <c r="I79" s="7">
        <f t="shared" si="47"/>
        <v>2.3665204189590963</v>
      </c>
    </row>
    <row r="80" spans="2:9" ht="16" thickBot="1">
      <c r="B80" s="6" t="s">
        <v>2</v>
      </c>
      <c r="C80" s="8">
        <f>C79/C72</f>
        <v>1</v>
      </c>
      <c r="D80" s="8">
        <f t="shared" ref="D80:I80" si="48">D79/D72</f>
        <v>0.57891424403880243</v>
      </c>
      <c r="E80" s="8">
        <f t="shared" si="48"/>
        <v>0.52559076531210891</v>
      </c>
      <c r="F80" s="8">
        <f t="shared" si="48"/>
        <v>0.38761032712352667</v>
      </c>
      <c r="G80" s="8">
        <f t="shared" si="48"/>
        <v>0.14384595288557772</v>
      </c>
      <c r="H80" s="8">
        <f t="shared" si="48"/>
        <v>7.2010126026920127E-2</v>
      </c>
      <c r="I80" s="8">
        <f t="shared" si="48"/>
        <v>3.6976881546235879E-2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Lee</dc:creator>
  <cp:lastModifiedBy>Wenjun Lee</cp:lastModifiedBy>
  <dcterms:created xsi:type="dcterms:W3CDTF">2026-03-29T14:54:33Z</dcterms:created>
  <dcterms:modified xsi:type="dcterms:W3CDTF">2026-04-27T11:55:17Z</dcterms:modified>
</cp:coreProperties>
</file>